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יכום" sheetId="1" state="visible" r:id="rId3"/>
    <sheet name="הגדרות" sheetId="2" state="visible" r:id="rId4"/>
    <sheet name="הוצאות" sheetId="3" state="visible" r:id="rId5"/>
  </sheets>
  <definedNames>
    <definedName function="false" hidden="true" localSheetId="2" name="_xlnm._FilterDatabase" vbProcedure="false">הוצאות!$A$4:$M$31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FreeSans"/>
            <family val="2"/>
          </rPr>
          <t xml:space="preserve">סכום במטבע המקורי. דולר ויורו מומרים לפי השערים בגיליון "הגדרות</t>
        </r>
        <r>
          <rPr>
            <sz val="10"/>
            <rFont val="Arial"/>
            <family val="2"/>
          </rPr>
          <t xml:space="preserve">".</t>
        </r>
      </text>
    </comment>
  </commentList>
</comments>
</file>

<file path=xl/sharedStrings.xml><?xml version="1.0" encoding="utf-8"?>
<sst xmlns="http://schemas.openxmlformats.org/spreadsheetml/2006/main" count="130" uniqueCount="92">
  <si>
    <t xml:space="preserve">סיכום: חנן המנעולן</t>
  </si>
  <si>
    <t xml:space="preserve">הכל מחושב מהגיליונות "הוצאות" ו"הגדרות". לא צריך לגעת כאן.</t>
  </si>
  <si>
    <t xml:space="preserve">הכנסה מחנן</t>
  </si>
  <si>
    <t xml:space="preserve">מחיר חודשי כולל מע"מ</t>
  </si>
  <si>
    <t xml:space="preserve">מה שחנן משלם</t>
  </si>
  <si>
    <t xml:space="preserve">מע"מ שמעבירים למדינה</t>
  </si>
  <si>
    <t xml:space="preserve">המחיר פחות ההכנסה נטו</t>
  </si>
  <si>
    <t xml:space="preserve">הכנסה חודשית נטו</t>
  </si>
  <si>
    <t xml:space="preserve">500 חלקי 1.18, לא 500 פחות 18%</t>
  </si>
  <si>
    <t xml:space="preserve">הוצאות חודשיות</t>
  </si>
  <si>
    <t xml:space="preserve">הוצאה חודשית עכשיו (פעיל)</t>
  </si>
  <si>
    <t xml:space="preserve">כולל UltraMsg</t>
  </si>
  <si>
    <t xml:space="preserve">נשאר בחודש, עכשיו</t>
  </si>
  <si>
    <t xml:space="preserve">מה שמתבטל במעבר ל-360dialog</t>
  </si>
  <si>
    <t xml:space="preserve">UltraMsg</t>
  </si>
  <si>
    <t xml:space="preserve">מה שמתווסף במעבר (מתוכנן)</t>
  </si>
  <si>
    <t xml:space="preserve">360dialog ו-Meta</t>
  </si>
  <si>
    <t xml:space="preserve">הוצאה חודשית אחרי המעבר</t>
  </si>
  <si>
    <t xml:space="preserve">נשאר בחודש, אחרי המעבר</t>
  </si>
  <si>
    <t xml:space="preserve">נשאר בשנה, אחרי המעבר</t>
  </si>
  <si>
    <t xml:space="preserve">חד-פעמי</t>
  </si>
  <si>
    <t xml:space="preserve">שילמנו חד-פעמי</t>
  </si>
  <si>
    <t xml:space="preserve">טעינות ורכישות</t>
  </si>
  <si>
    <t xml:space="preserve">הקמה מחנן, נטו אחרי מע"מ</t>
  </si>
  <si>
    <t xml:space="preserve">2,500 חלקי 1.18</t>
  </si>
  <si>
    <t xml:space="preserve">יתרת הקמה לקבל (כולל מע"מ)</t>
  </si>
  <si>
    <t xml:space="preserve">אחרי שבוע באוויר</t>
  </si>
  <si>
    <t xml:space="preserve">כל לקוח נוסף</t>
  </si>
  <si>
    <t xml:space="preserve">עלות חודשית ללקוח נוסף</t>
  </si>
  <si>
    <t xml:space="preserve">360dialog, Anthropic ו-Meta. השרת משותף</t>
  </si>
  <si>
    <t xml:space="preserve">נשאר מלקוח במחיר 500 כולל מע"מ</t>
  </si>
  <si>
    <t xml:space="preserve">נשאר מלקוח במחיר 500 + מע"מ</t>
  </si>
  <si>
    <t xml:space="preserve">אם הלקוח משלם 590</t>
  </si>
  <si>
    <t xml:space="preserve">הגדרות ושערים</t>
  </si>
  <si>
    <t xml:space="preserve">תאים בכחול על רקע צהוב: מכאן משנים. כל השאר מחושב לבד.</t>
  </si>
  <si>
    <t xml:space="preserve">שער דולר (₪)</t>
  </si>
  <si>
    <t xml:space="preserve">שער עבודה, לעדכן לפי השער היציג</t>
  </si>
  <si>
    <t xml:space="preserve">שער יורו (₪)</t>
  </si>
  <si>
    <t xml:space="preserve">מע"מ</t>
  </si>
  <si>
    <t xml:space="preserve">מע"מ בישראל, 18%</t>
  </si>
  <si>
    <t xml:space="preserve">מחיר חודשי לחנן, כולל מע"מ (₪)</t>
  </si>
  <si>
    <t xml:space="preserve">מה שחנן משלם כל חודש (לפי אריאל)</t>
  </si>
  <si>
    <t xml:space="preserve">מחיר הקמה לחנן, כולל מע"מ (₪)</t>
  </si>
  <si>
    <t xml:space="preserve">לפי החוזה</t>
  </si>
  <si>
    <t xml:space="preserve">מקדמה ששולמה (₪)</t>
  </si>
  <si>
    <t xml:space="preserve">שולם</t>
  </si>
  <si>
    <t xml:space="preserve">הוצאות: חנן המנעולן</t>
  </si>
  <si>
    <t xml:space="preserve">שורה לכל דבר שמשלמים עליו. קניתם משהו? מוסיפים שורה בסוף הטבלה (עמודות A עד K), והעמודות האפורות מחושבות לבד.</t>
  </si>
  <si>
    <t xml:space="preserve">מה</t>
  </si>
  <si>
    <t xml:space="preserve">קטגוריה</t>
  </si>
  <si>
    <t xml:space="preserve">סכום</t>
  </si>
  <si>
    <t xml:space="preserve">מטבע</t>
  </si>
  <si>
    <t xml:space="preserve">תדירות</t>
  </si>
  <si>
    <t xml:space="preserve">מצב</t>
  </si>
  <si>
    <t xml:space="preserve">מתבטל במעבר ל-360dialog</t>
  </si>
  <si>
    <t xml:space="preserve">לכל לקוח נוסף</t>
  </si>
  <si>
    <t xml:space="preserve">מאז</t>
  </si>
  <si>
    <t xml:space="preserve">על שם</t>
  </si>
  <si>
    <t xml:space="preserve">הערה</t>
  </si>
  <si>
    <t xml:space="preserve">בשקלים</t>
  </si>
  <si>
    <t xml:space="preserve">לחודש (₪)</t>
  </si>
  <si>
    <t xml:space="preserve">Cloudflare Workers Paid (השרת)</t>
  </si>
  <si>
    <t xml:space="preserve">שרת</t>
  </si>
  <si>
    <t xml:space="preserve">USD</t>
  </si>
  <si>
    <t xml:space="preserve">חודשי</t>
  </si>
  <si>
    <t xml:space="preserve">פעיל</t>
  </si>
  <si>
    <t xml:space="preserve">לא</t>
  </si>
  <si>
    <t xml:space="preserve">14/10/2026</t>
  </si>
  <si>
    <t xml:space="preserve">מייל העסק</t>
  </si>
  <si>
    <t xml:space="preserve">השרת, מסד הנתונים ותמלול ההקלטות. משותף לכל הלקוחות</t>
  </si>
  <si>
    <t xml:space="preserve">Anthropic, טעינת קרדיט ראשונה</t>
  </si>
  <si>
    <t xml:space="preserve">AI</t>
  </si>
  <si>
    <t xml:space="preserve">Anthropic, שימוש חודשי (Claude)</t>
  </si>
  <si>
    <t xml:space="preserve">לפי שימוש</t>
  </si>
  <si>
    <t xml:space="preserve">כן</t>
  </si>
  <si>
    <t xml:space="preserve">הערכה ל-90 פניות בחודש. לעדכן אחרי שבוע באוויר</t>
  </si>
  <si>
    <t xml:space="preserve">UltraMsg, instance194049</t>
  </si>
  <si>
    <t xml:space="preserve">וואטסאפ</t>
  </si>
  <si>
    <t xml:space="preserve">השותף</t>
  </si>
  <si>
    <t xml:space="preserve">הערכה. לבדיקות בלבד. לבדוק את המחיר המדויק</t>
  </si>
  <si>
    <t xml:space="preserve">360dialog, חיבור רשמי למספר של חנן</t>
  </si>
  <si>
    <t xml:space="preserve">EUR</t>
  </si>
  <si>
    <t xml:space="preserve">מתוכנן</t>
  </si>
  <si>
    <t xml:space="preserve">מתחיל ביום החיבור עם חנן</t>
  </si>
  <si>
    <t xml:space="preserve">Meta, תזכורות וביקורות</t>
  </si>
  <si>
    <t xml:space="preserve">ILS</t>
  </si>
  <si>
    <t xml:space="preserve">הערכה. אגורות להודעה. שיחות שהלקוח פותח בחינם</t>
  </si>
  <si>
    <t xml:space="preserve">GitHub (הקוד)</t>
  </si>
  <si>
    <t xml:space="preserve">כלים</t>
  </si>
  <si>
    <t xml:space="preserve">11/10/2026</t>
  </si>
  <si>
    <t xml:space="preserve">אריאל</t>
  </si>
  <si>
    <t xml:space="preserve">חינם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</si>
</sst>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₪#,##0.00;&quot;-₪&quot;#,##0.00;\-"/>
    <numFmt numFmtId="166" formatCode="0.00"/>
    <numFmt numFmtId="167" formatCode="0.0%"/>
    <numFmt numFmtId="168" formatCode="#,##0"/>
    <numFmt numFmtId="169" formatCode="#,##0.00;\-#,##0.00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4458"/>
      <name val="Arial"/>
      <family val="0"/>
      <charset val="1"/>
    </font>
    <font>
      <i val="true"/>
      <sz val="9"/>
      <color rgb="FF5A6573"/>
      <name val="Arial"/>
      <family val="0"/>
      <charset val="1"/>
    </font>
    <font>
      <b val="true"/>
      <sz val="12"/>
      <color rgb="FFA8761C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6ECD8"/>
        <bgColor rgb="FFEEF1F4"/>
      </patternFill>
    </fill>
    <fill>
      <patternFill patternType="solid">
        <fgColor rgb="FFFFFF00"/>
        <bgColor rgb="FFFFFF00"/>
      </patternFill>
    </fill>
    <fill>
      <patternFill patternType="solid">
        <fgColor rgb="FF2F4458"/>
        <bgColor rgb="FF333399"/>
      </patternFill>
    </fill>
    <fill>
      <patternFill patternType="solid">
        <fgColor rgb="FFEEF1F4"/>
        <bgColor rgb="FFF6EC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2E8"/>
      </left>
      <right style="thin">
        <color rgb="FFDDE2E8"/>
      </right>
      <top style="thin">
        <color rgb="FFDDE2E8"/>
      </top>
      <bottom style="thin">
        <color rgb="FFDDE2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445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EF1F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761C"/>
      <rgbColor rgb="FF800080"/>
      <rgbColor rgb="FF008080"/>
      <rgbColor rgb="FFC0C0C0"/>
      <rgbColor rgb="FF808080"/>
      <rgbColor rgb="FF9999FF"/>
      <rgbColor rgb="FF993366"/>
      <rgbColor rgb="FFF6ECD8"/>
      <rgbColor rgb="FFEEF1F4"/>
      <rgbColor rgb="FF660066"/>
      <rgbColor rgb="FFFF8080"/>
      <rgbColor rgb="FF0066CC"/>
      <rgbColor rgb="FFDDE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5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4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18.6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הגדרות!$B$7</f>
        <v>500</v>
      </c>
      <c r="C5" s="2" t="s">
        <v>4</v>
      </c>
    </row>
    <row r="6" customFormat="false" ht="15" hidden="false" customHeight="false" outlineLevel="0" collapsed="false">
      <c r="A6" s="4" t="s">
        <v>5</v>
      </c>
      <c r="B6" s="6" t="n">
        <f aca="false">B5-B7</f>
        <v>76.2711864406779</v>
      </c>
      <c r="C6" s="2" t="s">
        <v>6</v>
      </c>
    </row>
    <row r="7" customFormat="false" ht="15" hidden="false" customHeight="false" outlineLevel="0" collapsed="false">
      <c r="A7" s="4" t="s">
        <v>7</v>
      </c>
      <c r="B7" s="5" t="n">
        <f aca="false">הגדרות!$B$7/(1+הגדרות!$B$6)</f>
        <v>423.728813559322</v>
      </c>
      <c r="C7" s="2" t="s">
        <v>8</v>
      </c>
    </row>
    <row r="9" customFormat="false" ht="15" hidden="false" customHeight="false" outlineLevel="0" collapsed="false">
      <c r="A9" s="3" t="s">
        <v>9</v>
      </c>
    </row>
    <row r="10" customFormat="false" ht="15" hidden="false" customHeight="false" outlineLevel="0" collapsed="false">
      <c r="A10" s="4" t="s">
        <v>10</v>
      </c>
      <c r="B10" s="5" t="n">
        <f aca="false">SUMIFS(הוצאות!$M$5:$M$31,הוצאות!$F$5:$F$31,"פעיל")</f>
        <v>218.3</v>
      </c>
      <c r="C10" s="2" t="s">
        <v>11</v>
      </c>
    </row>
    <row r="11" customFormat="false" ht="15" hidden="false" customHeight="false" outlineLevel="0" collapsed="false">
      <c r="A11" s="7" t="s">
        <v>12</v>
      </c>
      <c r="B11" s="8" t="n">
        <f aca="false">B7-B10</f>
        <v>205.428813559322</v>
      </c>
    </row>
    <row r="12" customFormat="false" ht="15" hidden="false" customHeight="false" outlineLevel="0" collapsed="false">
      <c r="A12" s="4" t="s">
        <v>13</v>
      </c>
      <c r="B12" s="5" t="n">
        <f aca="false">SUMIFS(הוצאות!$M$5:$M$31,הוצאות!$F$5:$F$31,"פעיל",הוצאות!$G$5:$G$31,"כן")</f>
        <v>144.3</v>
      </c>
      <c r="C12" s="2" t="s">
        <v>14</v>
      </c>
    </row>
    <row r="13" customFormat="false" ht="15" hidden="false" customHeight="false" outlineLevel="0" collapsed="false">
      <c r="A13" s="4" t="s">
        <v>15</v>
      </c>
      <c r="B13" s="5" t="n">
        <f aca="false">SUMIFS(הוצאות!$M$5:$M$31,הוצאות!$F$5:$F$31,"מתוכנן")</f>
        <v>206</v>
      </c>
      <c r="C13" s="2" t="s">
        <v>16</v>
      </c>
    </row>
    <row r="14" customFormat="false" ht="15" hidden="false" customHeight="false" outlineLevel="0" collapsed="false">
      <c r="A14" s="4" t="s">
        <v>17</v>
      </c>
      <c r="B14" s="6" t="n">
        <f aca="false">B10-B12+B13</f>
        <v>280</v>
      </c>
    </row>
    <row r="15" customFormat="false" ht="15" hidden="false" customHeight="false" outlineLevel="0" collapsed="false">
      <c r="A15" s="7" t="s">
        <v>18</v>
      </c>
      <c r="B15" s="8" t="n">
        <f aca="false">B7-B14</f>
        <v>143.728813559322</v>
      </c>
    </row>
    <row r="16" customFormat="false" ht="15" hidden="false" customHeight="false" outlineLevel="0" collapsed="false">
      <c r="A16" s="7" t="s">
        <v>19</v>
      </c>
      <c r="B16" s="8" t="n">
        <f aca="false">B15*12</f>
        <v>1724.74576271187</v>
      </c>
    </row>
    <row r="18" customFormat="false" ht="15" hidden="false" customHeight="false" outlineLevel="0" collapsed="false">
      <c r="A18" s="3" t="s">
        <v>20</v>
      </c>
    </row>
    <row r="19" customFormat="false" ht="15" hidden="false" customHeight="false" outlineLevel="0" collapsed="false">
      <c r="A19" s="4" t="s">
        <v>21</v>
      </c>
      <c r="B19" s="5" t="n">
        <f aca="false">SUMIFS(הוצאות!$L$5:$L$31,הוצאות!$E$5:$E$31,"חד-פעמי",הוצאות!$F$5:$F$31,"פעיל")</f>
        <v>37</v>
      </c>
      <c r="C19" s="2" t="s">
        <v>22</v>
      </c>
    </row>
    <row r="20" customFormat="false" ht="15" hidden="false" customHeight="false" outlineLevel="0" collapsed="false">
      <c r="A20" s="4" t="s">
        <v>23</v>
      </c>
      <c r="B20" s="5" t="n">
        <f aca="false">הגדרות!$B$8/(1+הגדרות!$B$6)</f>
        <v>2118.64406779661</v>
      </c>
      <c r="C20" s="2" t="s">
        <v>24</v>
      </c>
    </row>
    <row r="21" customFormat="false" ht="15" hidden="false" customHeight="false" outlineLevel="0" collapsed="false">
      <c r="A21" s="4" t="s">
        <v>25</v>
      </c>
      <c r="B21" s="5" t="n">
        <f aca="false">הגדרות!$B$8-הגדרות!$B$9</f>
        <v>1500</v>
      </c>
      <c r="C21" s="2" t="s">
        <v>26</v>
      </c>
    </row>
    <row r="23" customFormat="false" ht="15" hidden="false" customHeight="false" outlineLevel="0" collapsed="false">
      <c r="A23" s="3" t="s">
        <v>27</v>
      </c>
    </row>
    <row r="24" customFormat="false" ht="15" hidden="false" customHeight="false" outlineLevel="0" collapsed="false">
      <c r="A24" s="4" t="s">
        <v>28</v>
      </c>
      <c r="B24" s="5" t="n">
        <f aca="false">SUMIFS(הוצאות!$M$5:$M$31,הוצאות!$H$5:$H$31,"כן",הוצאות!$F$5:$F$31,"&lt;&gt;בוטל")</f>
        <v>261.5</v>
      </c>
      <c r="C24" s="2" t="s">
        <v>29</v>
      </c>
    </row>
    <row r="25" customFormat="false" ht="15" hidden="false" customHeight="false" outlineLevel="0" collapsed="false">
      <c r="A25" s="7" t="s">
        <v>30</v>
      </c>
      <c r="B25" s="8" t="n">
        <f aca="false">B7-B24</f>
        <v>162.228813559322</v>
      </c>
    </row>
    <row r="26" customFormat="false" ht="15" hidden="false" customHeight="false" outlineLevel="0" collapsed="false">
      <c r="A26" s="7" t="s">
        <v>31</v>
      </c>
      <c r="B26" s="9" t="n">
        <f aca="false">הגדרות!$B$7-B24</f>
        <v>238.5</v>
      </c>
      <c r="C26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46"/>
  </cols>
  <sheetData>
    <row r="1" customFormat="false" ht="19.7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7" t="s">
        <v>35</v>
      </c>
      <c r="B4" s="10" t="n">
        <v>3.7</v>
      </c>
      <c r="C4" s="2" t="s">
        <v>36</v>
      </c>
    </row>
    <row r="5" customFormat="false" ht="15" hidden="false" customHeight="false" outlineLevel="0" collapsed="false">
      <c r="A5" s="7" t="s">
        <v>37</v>
      </c>
      <c r="B5" s="10" t="n">
        <v>4</v>
      </c>
      <c r="C5" s="2" t="s">
        <v>36</v>
      </c>
    </row>
    <row r="6" customFormat="false" ht="15" hidden="false" customHeight="false" outlineLevel="0" collapsed="false">
      <c r="A6" s="7" t="s">
        <v>38</v>
      </c>
      <c r="B6" s="11" t="n">
        <v>0.18</v>
      </c>
      <c r="C6" s="2" t="s">
        <v>39</v>
      </c>
    </row>
    <row r="7" customFormat="false" ht="15" hidden="false" customHeight="false" outlineLevel="0" collapsed="false">
      <c r="A7" s="7" t="s">
        <v>40</v>
      </c>
      <c r="B7" s="12" t="n">
        <v>500</v>
      </c>
      <c r="C7" s="2" t="s">
        <v>41</v>
      </c>
    </row>
    <row r="8" customFormat="false" ht="15" hidden="false" customHeight="false" outlineLevel="0" collapsed="false">
      <c r="A8" s="7" t="s">
        <v>42</v>
      </c>
      <c r="B8" s="12" t="n">
        <v>2500</v>
      </c>
      <c r="C8" s="2" t="s">
        <v>43</v>
      </c>
    </row>
    <row r="9" customFormat="false" ht="15" hidden="false" customHeight="false" outlineLevel="0" collapsed="false">
      <c r="A9" s="7" t="s">
        <v>44</v>
      </c>
      <c r="B9" s="12" t="n">
        <v>1000</v>
      </c>
      <c r="C9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1" min="11" style="0" width="46"/>
    <col collapsed="false" customWidth="true" hidden="false" outlineLevel="0" max="13" min="12" style="0" width="13"/>
  </cols>
  <sheetData>
    <row r="1" customFormat="false" ht="18.6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52.2" hidden="false" customHeight="false" outlineLevel="0" collapsed="false">
      <c r="A4" s="13" t="s">
        <v>48</v>
      </c>
      <c r="B4" s="13" t="s">
        <v>49</v>
      </c>
      <c r="C4" s="13" t="s">
        <v>50</v>
      </c>
      <c r="D4" s="13" t="s">
        <v>51</v>
      </c>
      <c r="E4" s="13" t="s">
        <v>52</v>
      </c>
      <c r="F4" s="13" t="s">
        <v>53</v>
      </c>
      <c r="G4" s="13" t="s">
        <v>54</v>
      </c>
      <c r="H4" s="13" t="s">
        <v>55</v>
      </c>
      <c r="I4" s="13" t="s">
        <v>56</v>
      </c>
      <c r="J4" s="13" t="s">
        <v>57</v>
      </c>
      <c r="K4" s="13" t="s">
        <v>58</v>
      </c>
      <c r="L4" s="13" t="s">
        <v>59</v>
      </c>
      <c r="M4" s="13" t="s">
        <v>60</v>
      </c>
    </row>
    <row r="5" customFormat="false" ht="26.85" hidden="false" customHeight="false" outlineLevel="0" collapsed="false">
      <c r="A5" s="14" t="s">
        <v>61</v>
      </c>
      <c r="B5" s="15" t="s">
        <v>62</v>
      </c>
      <c r="C5" s="16" t="n">
        <v>5</v>
      </c>
      <c r="D5" s="15" t="s">
        <v>63</v>
      </c>
      <c r="E5" s="15" t="s">
        <v>64</v>
      </c>
      <c r="F5" s="15" t="s">
        <v>65</v>
      </c>
      <c r="G5" s="15" t="s">
        <v>66</v>
      </c>
      <c r="H5" s="15" t="s">
        <v>66</v>
      </c>
      <c r="I5" s="15" t="s">
        <v>67</v>
      </c>
      <c r="J5" s="15" t="s">
        <v>68</v>
      </c>
      <c r="K5" s="14" t="s">
        <v>69</v>
      </c>
      <c r="L5" s="17" t="n">
        <f aca="false">IF(C5="","",C5*IF(D5="USD",הגדרות!$B$4,IF(D5="EUR",הגדרות!$B$5,1)))</f>
        <v>18.5</v>
      </c>
      <c r="M5" s="17" t="n">
        <f aca="false">IF(C5="","",IF(OR(E5="חודשי",E5="לפי שימוש"),L5,IF(E5="שנתי",L5/12,0)))</f>
        <v>18.5</v>
      </c>
    </row>
    <row r="6" customFormat="false" ht="15" hidden="false" customHeight="false" outlineLevel="0" collapsed="false">
      <c r="A6" s="14" t="s">
        <v>70</v>
      </c>
      <c r="B6" s="15" t="s">
        <v>71</v>
      </c>
      <c r="C6" s="16" t="n">
        <v>10</v>
      </c>
      <c r="D6" s="15" t="s">
        <v>63</v>
      </c>
      <c r="E6" s="15" t="s">
        <v>20</v>
      </c>
      <c r="F6" s="15" t="s">
        <v>65</v>
      </c>
      <c r="G6" s="15" t="s">
        <v>66</v>
      </c>
      <c r="H6" s="15" t="s">
        <v>66</v>
      </c>
      <c r="I6" s="15" t="s">
        <v>67</v>
      </c>
      <c r="J6" s="15" t="s">
        <v>68</v>
      </c>
      <c r="K6" s="14" t="s">
        <v>45</v>
      </c>
      <c r="L6" s="17" t="n">
        <f aca="false">IF(C6="","",C6*IF(D6="USD",הגדרות!$B$4,IF(D6="EUR",הגדרות!$B$5,1)))</f>
        <v>37</v>
      </c>
      <c r="M6" s="17" t="n">
        <f aca="false">IF(C6="","",IF(OR(E6="חודשי",E6="לפי שימוש"),L6,IF(E6="שנתי",L6/12,0)))</f>
        <v>0</v>
      </c>
    </row>
    <row r="7" customFormat="false" ht="15" hidden="false" customHeight="false" outlineLevel="0" collapsed="false">
      <c r="A7" s="14" t="s">
        <v>72</v>
      </c>
      <c r="B7" s="15" t="s">
        <v>71</v>
      </c>
      <c r="C7" s="16" t="n">
        <v>15</v>
      </c>
      <c r="D7" s="15" t="s">
        <v>63</v>
      </c>
      <c r="E7" s="15" t="s">
        <v>73</v>
      </c>
      <c r="F7" s="15" t="s">
        <v>65</v>
      </c>
      <c r="G7" s="15" t="s">
        <v>66</v>
      </c>
      <c r="H7" s="15" t="s">
        <v>74</v>
      </c>
      <c r="I7" s="15" t="s">
        <v>67</v>
      </c>
      <c r="J7" s="15" t="s">
        <v>68</v>
      </c>
      <c r="K7" s="14" t="s">
        <v>75</v>
      </c>
      <c r="L7" s="17" t="n">
        <f aca="false">IF(C7="","",C7*IF(D7="USD",הגדרות!$B$4,IF(D7="EUR",הגדרות!$B$5,1)))</f>
        <v>55.5</v>
      </c>
      <c r="M7" s="17" t="n">
        <f aca="false">IF(C7="","",IF(OR(E7="חודשי",E7="לפי שימוש"),L7,IF(E7="שנתי",L7/12,0)))</f>
        <v>55.5</v>
      </c>
    </row>
    <row r="8" customFormat="false" ht="15" hidden="false" customHeight="false" outlineLevel="0" collapsed="false">
      <c r="A8" s="14" t="s">
        <v>76</v>
      </c>
      <c r="B8" s="15" t="s">
        <v>77</v>
      </c>
      <c r="C8" s="16" t="n">
        <v>39</v>
      </c>
      <c r="D8" s="15" t="s">
        <v>63</v>
      </c>
      <c r="E8" s="15" t="s">
        <v>64</v>
      </c>
      <c r="F8" s="15" t="s">
        <v>65</v>
      </c>
      <c r="G8" s="15" t="s">
        <v>74</v>
      </c>
      <c r="H8" s="15" t="s">
        <v>66</v>
      </c>
      <c r="I8" s="15" t="s">
        <v>67</v>
      </c>
      <c r="J8" s="15" t="s">
        <v>78</v>
      </c>
      <c r="K8" s="14" t="s">
        <v>79</v>
      </c>
      <c r="L8" s="17" t="n">
        <f aca="false">IF(C8="","",C8*IF(D8="USD",הגדרות!$B$4,IF(D8="EUR",הגדרות!$B$5,1)))</f>
        <v>144.3</v>
      </c>
      <c r="M8" s="17" t="n">
        <f aca="false">IF(C8="","",IF(OR(E8="חודשי",E8="לפי שימוש"),L8,IF(E8="שנתי",L8/12,0)))</f>
        <v>144.3</v>
      </c>
    </row>
    <row r="9" customFormat="false" ht="26.85" hidden="false" customHeight="false" outlineLevel="0" collapsed="false">
      <c r="A9" s="14" t="s">
        <v>80</v>
      </c>
      <c r="B9" s="15" t="s">
        <v>77</v>
      </c>
      <c r="C9" s="16" t="n">
        <v>49</v>
      </c>
      <c r="D9" s="15" t="s">
        <v>81</v>
      </c>
      <c r="E9" s="15" t="s">
        <v>64</v>
      </c>
      <c r="F9" s="15" t="s">
        <v>82</v>
      </c>
      <c r="G9" s="15" t="s">
        <v>66</v>
      </c>
      <c r="H9" s="15" t="s">
        <v>74</v>
      </c>
      <c r="I9" s="15"/>
      <c r="J9" s="15" t="s">
        <v>68</v>
      </c>
      <c r="K9" s="14" t="s">
        <v>83</v>
      </c>
      <c r="L9" s="17" t="n">
        <f aca="false">IF(C9="","",C9*IF(D9="USD",הגדרות!$B$4,IF(D9="EUR",הגדרות!$B$5,1)))</f>
        <v>196</v>
      </c>
      <c r="M9" s="17" t="n">
        <f aca="false">IF(C9="","",IF(OR(E9="חודשי",E9="לפי שימוש"),L9,IF(E9="שנתי",L9/12,0)))</f>
        <v>196</v>
      </c>
    </row>
    <row r="10" customFormat="false" ht="26.85" hidden="false" customHeight="false" outlineLevel="0" collapsed="false">
      <c r="A10" s="14" t="s">
        <v>84</v>
      </c>
      <c r="B10" s="15" t="s">
        <v>77</v>
      </c>
      <c r="C10" s="16" t="n">
        <v>10</v>
      </c>
      <c r="D10" s="15" t="s">
        <v>85</v>
      </c>
      <c r="E10" s="15" t="s">
        <v>73</v>
      </c>
      <c r="F10" s="15" t="s">
        <v>82</v>
      </c>
      <c r="G10" s="15" t="s">
        <v>66</v>
      </c>
      <c r="H10" s="15" t="s">
        <v>74</v>
      </c>
      <c r="I10" s="15"/>
      <c r="J10" s="15" t="s">
        <v>68</v>
      </c>
      <c r="K10" s="14" t="s">
        <v>86</v>
      </c>
      <c r="L10" s="17" t="n">
        <f aca="false">IF(C10="","",C10*IF(D10="USD",הגדרות!$B$4,IF(D10="EUR",הגדרות!$B$5,1)))</f>
        <v>10</v>
      </c>
      <c r="M10" s="17" t="n">
        <f aca="false">IF(C10="","",IF(OR(E10="חודשי",E10="לפי שימוש"),L10,IF(E10="שנתי",L10/12,0)))</f>
        <v>10</v>
      </c>
    </row>
    <row r="11" customFormat="false" ht="15" hidden="false" customHeight="false" outlineLevel="0" collapsed="false">
      <c r="A11" s="14" t="s">
        <v>87</v>
      </c>
      <c r="B11" s="15" t="s">
        <v>88</v>
      </c>
      <c r="C11" s="16" t="n">
        <v>0</v>
      </c>
      <c r="D11" s="15" t="s">
        <v>85</v>
      </c>
      <c r="E11" s="15" t="s">
        <v>64</v>
      </c>
      <c r="F11" s="15" t="s">
        <v>65</v>
      </c>
      <c r="G11" s="15" t="s">
        <v>66</v>
      </c>
      <c r="H11" s="15" t="s">
        <v>66</v>
      </c>
      <c r="I11" s="15" t="s">
        <v>89</v>
      </c>
      <c r="J11" s="15" t="s">
        <v>90</v>
      </c>
      <c r="K11" s="14" t="s">
        <v>91</v>
      </c>
      <c r="L11" s="17" t="n">
        <f aca="false">IF(C11="","",C11*IF(D11="USD",הגדרות!$B$4,IF(D11="EUR",הגדרות!$B$5,1)))</f>
        <v>0</v>
      </c>
      <c r="M11" s="17" t="n">
        <f aca="false">IF(C11="","",IF(OR(E11="חודשי",E11="לפי שימוש"),L11,IF(E11="שנתי",L11/12,0)))</f>
        <v>0</v>
      </c>
    </row>
    <row r="12" customFormat="false" ht="15" hidden="false" customHeight="false" outlineLevel="0" collapsed="false">
      <c r="A12" s="14"/>
      <c r="B12" s="15"/>
      <c r="C12" s="16"/>
      <c r="D12" s="15"/>
      <c r="E12" s="15"/>
      <c r="F12" s="15"/>
      <c r="G12" s="15"/>
      <c r="H12" s="15"/>
      <c r="I12" s="15"/>
      <c r="J12" s="15"/>
      <c r="K12" s="14"/>
      <c r="L12" s="17" t="str">
        <f aca="false">IF(C12="","",C12*IF(D12="USD",הגדרות!$B$4,IF(D12="EUR",הגדרות!$B$5,1)))</f>
        <v/>
      </c>
      <c r="M12" s="17" t="str">
        <f aca="false">IF(C12="","",IF(OR(E12="חודשי",E12="לפי שימוש"),L12,IF(E12="שנתי",L12/12,0)))</f>
        <v/>
      </c>
    </row>
    <row r="13" customFormat="false" ht="15" hidden="false" customHeight="false" outlineLevel="0" collapsed="false">
      <c r="A13" s="14"/>
      <c r="B13" s="15"/>
      <c r="C13" s="16"/>
      <c r="D13" s="15"/>
      <c r="E13" s="15"/>
      <c r="F13" s="15"/>
      <c r="G13" s="15"/>
      <c r="H13" s="15"/>
      <c r="I13" s="15"/>
      <c r="J13" s="15"/>
      <c r="K13" s="14"/>
      <c r="L13" s="17" t="str">
        <f aca="false">IF(C13="","",C13*IF(D13="USD",הגדרות!$B$4,IF(D13="EUR",הגדרות!$B$5,1)))</f>
        <v/>
      </c>
      <c r="M13" s="17" t="str">
        <f aca="false">IF(C13="","",IF(OR(E13="חודשי",E13="לפי שימוש"),L13,IF(E13="שנתי",L13/12,0)))</f>
        <v/>
      </c>
    </row>
    <row r="14" customFormat="false" ht="15" hidden="false" customHeight="false" outlineLevel="0" collapsed="false">
      <c r="A14" s="14"/>
      <c r="B14" s="15"/>
      <c r="C14" s="16"/>
      <c r="D14" s="15"/>
      <c r="E14" s="15"/>
      <c r="F14" s="15"/>
      <c r="G14" s="15"/>
      <c r="H14" s="15"/>
      <c r="I14" s="15"/>
      <c r="J14" s="15"/>
      <c r="K14" s="14"/>
      <c r="L14" s="17" t="str">
        <f aca="false">IF(C14="","",C14*IF(D14="USD",הגדרות!$B$4,IF(D14="EUR",הגדרות!$B$5,1)))</f>
        <v/>
      </c>
      <c r="M14" s="17" t="str">
        <f aca="false">IF(C14="","",IF(OR(E14="חודשי",E14="לפי שימוש"),L14,IF(E14="שנתי",L14/12,0)))</f>
        <v/>
      </c>
    </row>
    <row r="15" customFormat="false" ht="15" hidden="false" customHeight="false" outlineLevel="0" collapsed="false">
      <c r="A15" s="14"/>
      <c r="B15" s="15"/>
      <c r="C15" s="16"/>
      <c r="D15" s="15"/>
      <c r="E15" s="15"/>
      <c r="F15" s="15"/>
      <c r="G15" s="15"/>
      <c r="H15" s="15"/>
      <c r="I15" s="15"/>
      <c r="J15" s="15"/>
      <c r="K15" s="14"/>
      <c r="L15" s="17" t="str">
        <f aca="false">IF(C15="","",C15*IF(D15="USD",הגדרות!$B$4,IF(D15="EUR",הגדרות!$B$5,1)))</f>
        <v/>
      </c>
      <c r="M15" s="17" t="str">
        <f aca="false">IF(C15="","",IF(OR(E15="חודשי",E15="לפי שימוש"),L15,IF(E15="שנתי",L15/12,0)))</f>
        <v/>
      </c>
    </row>
    <row r="16" customFormat="false" ht="15" hidden="false" customHeight="false" outlineLevel="0" collapsed="false">
      <c r="A16" s="14"/>
      <c r="B16" s="15"/>
      <c r="C16" s="16"/>
      <c r="D16" s="15"/>
      <c r="E16" s="15"/>
      <c r="F16" s="15"/>
      <c r="G16" s="15"/>
      <c r="H16" s="15"/>
      <c r="I16" s="15"/>
      <c r="J16" s="15"/>
      <c r="K16" s="14"/>
      <c r="L16" s="17" t="str">
        <f aca="false">IF(C16="","",C16*IF(D16="USD",הגדרות!$B$4,IF(D16="EUR",הגדרות!$B$5,1)))</f>
        <v/>
      </c>
      <c r="M16" s="17" t="str">
        <f aca="false">IF(C16="","",IF(OR(E16="חודשי",E16="לפי שימוש"),L16,IF(E16="שנתי",L16/12,0)))</f>
        <v/>
      </c>
    </row>
    <row r="17" customFormat="false" ht="15" hidden="false" customHeight="false" outlineLevel="0" collapsed="false">
      <c r="A17" s="14"/>
      <c r="B17" s="15"/>
      <c r="C17" s="16"/>
      <c r="D17" s="15"/>
      <c r="E17" s="15"/>
      <c r="F17" s="15"/>
      <c r="G17" s="15"/>
      <c r="H17" s="15"/>
      <c r="I17" s="15"/>
      <c r="J17" s="15"/>
      <c r="K17" s="14"/>
      <c r="L17" s="17" t="str">
        <f aca="false">IF(C17="","",C17*IF(D17="USD",הגדרות!$B$4,IF(D17="EUR",הגדרות!$B$5,1)))</f>
        <v/>
      </c>
      <c r="M17" s="17" t="str">
        <f aca="false">IF(C17="","",IF(OR(E17="חודשי",E17="לפי שימוש"),L17,IF(E17="שנתי",L17/12,0)))</f>
        <v/>
      </c>
    </row>
    <row r="18" customFormat="false" ht="15" hidden="false" customHeight="false" outlineLevel="0" collapsed="false">
      <c r="A18" s="14"/>
      <c r="B18" s="15"/>
      <c r="C18" s="16"/>
      <c r="D18" s="15"/>
      <c r="E18" s="15"/>
      <c r="F18" s="15"/>
      <c r="G18" s="15"/>
      <c r="H18" s="15"/>
      <c r="I18" s="15"/>
      <c r="J18" s="15"/>
      <c r="K18" s="14"/>
      <c r="L18" s="17" t="str">
        <f aca="false">IF(C18="","",C18*IF(D18="USD",הגדרות!$B$4,IF(D18="EUR",הגדרות!$B$5,1)))</f>
        <v/>
      </c>
      <c r="M18" s="17" t="str">
        <f aca="false">IF(C18="","",IF(OR(E18="חודשי",E18="לפי שימוש"),L18,IF(E18="שנתי",L18/12,0)))</f>
        <v/>
      </c>
    </row>
    <row r="19" customFormat="false" ht="15" hidden="false" customHeight="false" outlineLevel="0" collapsed="false">
      <c r="A19" s="14"/>
      <c r="B19" s="15"/>
      <c r="C19" s="16"/>
      <c r="D19" s="15"/>
      <c r="E19" s="15"/>
      <c r="F19" s="15"/>
      <c r="G19" s="15"/>
      <c r="H19" s="15"/>
      <c r="I19" s="15"/>
      <c r="J19" s="15"/>
      <c r="K19" s="14"/>
      <c r="L19" s="17" t="str">
        <f aca="false">IF(C19="","",C19*IF(D19="USD",הגדרות!$B$4,IF(D19="EUR",הגדרות!$B$5,1)))</f>
        <v/>
      </c>
      <c r="M19" s="17" t="str">
        <f aca="false">IF(C19="","",IF(OR(E19="חודשי",E19="לפי שימוש"),L19,IF(E19="שנתי",L19/12,0)))</f>
        <v/>
      </c>
    </row>
    <row r="20" customFormat="false" ht="15" hidden="false" customHeight="false" outlineLevel="0" collapsed="false">
      <c r="A20" s="14"/>
      <c r="B20" s="15"/>
      <c r="C20" s="16"/>
      <c r="D20" s="15"/>
      <c r="E20" s="15"/>
      <c r="F20" s="15"/>
      <c r="G20" s="15"/>
      <c r="H20" s="15"/>
      <c r="I20" s="15"/>
      <c r="J20" s="15"/>
      <c r="K20" s="14"/>
      <c r="L20" s="17" t="str">
        <f aca="false">IF(C20="","",C20*IF(D20="USD",הגדרות!$B$4,IF(D20="EUR",הגדרות!$B$5,1)))</f>
        <v/>
      </c>
      <c r="M20" s="17" t="str">
        <f aca="false">IF(C20="","",IF(OR(E20="חודשי",E20="לפי שימוש"),L20,IF(E20="שנתי",L20/12,0)))</f>
        <v/>
      </c>
    </row>
    <row r="21" customFormat="false" ht="15" hidden="false" customHeight="false" outlineLevel="0" collapsed="false">
      <c r="A21" s="14"/>
      <c r="B21" s="15"/>
      <c r="C21" s="16"/>
      <c r="D21" s="15"/>
      <c r="E21" s="15"/>
      <c r="F21" s="15"/>
      <c r="G21" s="15"/>
      <c r="H21" s="15"/>
      <c r="I21" s="15"/>
      <c r="J21" s="15"/>
      <c r="K21" s="14"/>
      <c r="L21" s="17" t="str">
        <f aca="false">IF(C21="","",C21*IF(D21="USD",הגדרות!$B$4,IF(D21="EUR",הגדרות!$B$5,1)))</f>
        <v/>
      </c>
      <c r="M21" s="17" t="str">
        <f aca="false">IF(C21="","",IF(OR(E21="חודשי",E21="לפי שימוש"),L21,IF(E21="שנתי",L21/12,0)))</f>
        <v/>
      </c>
    </row>
    <row r="22" customFormat="false" ht="15" hidden="false" customHeight="false" outlineLevel="0" collapsed="false">
      <c r="A22" s="14"/>
      <c r="B22" s="15"/>
      <c r="C22" s="16"/>
      <c r="D22" s="15"/>
      <c r="E22" s="15"/>
      <c r="F22" s="15"/>
      <c r="G22" s="15"/>
      <c r="H22" s="15"/>
      <c r="I22" s="15"/>
      <c r="J22" s="15"/>
      <c r="K22" s="14"/>
      <c r="L22" s="17" t="str">
        <f aca="false">IF(C22="","",C22*IF(D22="USD",הגדרות!$B$4,IF(D22="EUR",הגדרות!$B$5,1)))</f>
        <v/>
      </c>
      <c r="M22" s="17" t="str">
        <f aca="false">IF(C22="","",IF(OR(E22="חודשי",E22="לפי שימוש"),L22,IF(E22="שנתי",L22/12,0)))</f>
        <v/>
      </c>
    </row>
    <row r="23" customFormat="false" ht="15" hidden="false" customHeight="false" outlineLevel="0" collapsed="false">
      <c r="A23" s="14"/>
      <c r="B23" s="15"/>
      <c r="C23" s="16"/>
      <c r="D23" s="15"/>
      <c r="E23" s="15"/>
      <c r="F23" s="15"/>
      <c r="G23" s="15"/>
      <c r="H23" s="15"/>
      <c r="I23" s="15"/>
      <c r="J23" s="15"/>
      <c r="K23" s="14"/>
      <c r="L23" s="17" t="str">
        <f aca="false">IF(C23="","",C23*IF(D23="USD",הגדרות!$B$4,IF(D23="EUR",הגדרות!$B$5,1)))</f>
        <v/>
      </c>
      <c r="M23" s="17" t="str">
        <f aca="false">IF(C23="","",IF(OR(E23="חודשי",E23="לפי שימוש"),L23,IF(E23="שנתי",L23/12,0)))</f>
        <v/>
      </c>
    </row>
    <row r="24" customFormat="false" ht="15" hidden="false" customHeight="false" outlineLevel="0" collapsed="false">
      <c r="A24" s="14"/>
      <c r="B24" s="15"/>
      <c r="C24" s="16"/>
      <c r="D24" s="15"/>
      <c r="E24" s="15"/>
      <c r="F24" s="15"/>
      <c r="G24" s="15"/>
      <c r="H24" s="15"/>
      <c r="I24" s="15"/>
      <c r="J24" s="15"/>
      <c r="K24" s="14"/>
      <c r="L24" s="17" t="str">
        <f aca="false">IF(C24="","",C24*IF(D24="USD",הגדרות!$B$4,IF(D24="EUR",הגדרות!$B$5,1)))</f>
        <v/>
      </c>
      <c r="M24" s="17" t="str">
        <f aca="false">IF(C24="","",IF(OR(E24="חודשי",E24="לפי שימוש"),L24,IF(E24="שנתי",L24/12,0)))</f>
        <v/>
      </c>
    </row>
    <row r="25" customFormat="false" ht="15" hidden="false" customHeight="false" outlineLevel="0" collapsed="false">
      <c r="A25" s="14"/>
      <c r="B25" s="15"/>
      <c r="C25" s="16"/>
      <c r="D25" s="15"/>
      <c r="E25" s="15"/>
      <c r="F25" s="15"/>
      <c r="G25" s="15"/>
      <c r="H25" s="15"/>
      <c r="I25" s="15"/>
      <c r="J25" s="15"/>
      <c r="K25" s="14"/>
      <c r="L25" s="17" t="str">
        <f aca="false">IF(C25="","",C25*IF(D25="USD",הגדרות!$B$4,IF(D25="EUR",הגדרות!$B$5,1)))</f>
        <v/>
      </c>
      <c r="M25" s="17" t="str">
        <f aca="false">IF(C25="","",IF(OR(E25="חודשי",E25="לפי שימוש"),L25,IF(E25="שנתי",L25/12,0)))</f>
        <v/>
      </c>
    </row>
    <row r="26" customFormat="false" ht="15" hidden="false" customHeight="false" outlineLevel="0" collapsed="false">
      <c r="A26" s="14"/>
      <c r="B26" s="15"/>
      <c r="C26" s="16"/>
      <c r="D26" s="15"/>
      <c r="E26" s="15"/>
      <c r="F26" s="15"/>
      <c r="G26" s="15"/>
      <c r="H26" s="15"/>
      <c r="I26" s="15"/>
      <c r="J26" s="15"/>
      <c r="K26" s="14"/>
      <c r="L26" s="17" t="str">
        <f aca="false">IF(C26="","",C26*IF(D26="USD",הגדרות!$B$4,IF(D26="EUR",הגדרות!$B$5,1)))</f>
        <v/>
      </c>
      <c r="M26" s="17" t="str">
        <f aca="false">IF(C26="","",IF(OR(E26="חודשי",E26="לפי שימוש"),L26,IF(E26="שנתי",L26/12,0)))</f>
        <v/>
      </c>
    </row>
    <row r="27" customFormat="false" ht="15" hidden="false" customHeight="false" outlineLevel="0" collapsed="false">
      <c r="A27" s="14"/>
      <c r="B27" s="15"/>
      <c r="C27" s="16"/>
      <c r="D27" s="15"/>
      <c r="E27" s="15"/>
      <c r="F27" s="15"/>
      <c r="G27" s="15"/>
      <c r="H27" s="15"/>
      <c r="I27" s="15"/>
      <c r="J27" s="15"/>
      <c r="K27" s="14"/>
      <c r="L27" s="17" t="str">
        <f aca="false">IF(C27="","",C27*IF(D27="USD",הגדרות!$B$4,IF(D27="EUR",הגדרות!$B$5,1)))</f>
        <v/>
      </c>
      <c r="M27" s="17" t="str">
        <f aca="false">IF(C27="","",IF(OR(E27="חודשי",E27="לפי שימוש"),L27,IF(E27="שנתי",L27/12,0)))</f>
        <v/>
      </c>
    </row>
    <row r="28" customFormat="false" ht="15" hidden="false" customHeight="false" outlineLevel="0" collapsed="false">
      <c r="A28" s="14"/>
      <c r="B28" s="15"/>
      <c r="C28" s="16"/>
      <c r="D28" s="15"/>
      <c r="E28" s="15"/>
      <c r="F28" s="15"/>
      <c r="G28" s="15"/>
      <c r="H28" s="15"/>
      <c r="I28" s="15"/>
      <c r="J28" s="15"/>
      <c r="K28" s="14"/>
      <c r="L28" s="17" t="str">
        <f aca="false">IF(C28="","",C28*IF(D28="USD",הגדרות!$B$4,IF(D28="EUR",הגדרות!$B$5,1)))</f>
        <v/>
      </c>
      <c r="M28" s="17" t="str">
        <f aca="false">IF(C28="","",IF(OR(E28="חודשי",E28="לפי שימוש"),L28,IF(E28="שנתי",L28/12,0)))</f>
        <v/>
      </c>
    </row>
    <row r="29" customFormat="false" ht="15" hidden="false" customHeight="false" outlineLevel="0" collapsed="false">
      <c r="A29" s="14"/>
      <c r="B29" s="15"/>
      <c r="C29" s="16"/>
      <c r="D29" s="15"/>
      <c r="E29" s="15"/>
      <c r="F29" s="15"/>
      <c r="G29" s="15"/>
      <c r="H29" s="15"/>
      <c r="I29" s="15"/>
      <c r="J29" s="15"/>
      <c r="K29" s="14"/>
      <c r="L29" s="17" t="str">
        <f aca="false">IF(C29="","",C29*IF(D29="USD",הגדרות!$B$4,IF(D29="EUR",הגדרות!$B$5,1)))</f>
        <v/>
      </c>
      <c r="M29" s="17" t="str">
        <f aca="false">IF(C29="","",IF(OR(E29="חודשי",E29="לפי שימוש"),L29,IF(E29="שנתי",L29/12,0)))</f>
        <v/>
      </c>
    </row>
    <row r="30" customFormat="false" ht="15" hidden="false" customHeight="false" outlineLevel="0" collapsed="false">
      <c r="A30" s="14"/>
      <c r="B30" s="15"/>
      <c r="C30" s="16"/>
      <c r="D30" s="15"/>
      <c r="E30" s="15"/>
      <c r="F30" s="15"/>
      <c r="G30" s="15"/>
      <c r="H30" s="15"/>
      <c r="I30" s="15"/>
      <c r="J30" s="15"/>
      <c r="K30" s="14"/>
      <c r="L30" s="17" t="str">
        <f aca="false">IF(C30="","",C30*IF(D30="USD",הגדרות!$B$4,IF(D30="EUR",הגדרות!$B$5,1)))</f>
        <v/>
      </c>
      <c r="M30" s="17" t="str">
        <f aca="false">IF(C30="","",IF(OR(E30="חודשי",E30="לפי שימוש"),L30,IF(E30="שנתי",L30/12,0)))</f>
        <v/>
      </c>
    </row>
    <row r="31" customFormat="false" ht="15" hidden="false" customHeight="false" outlineLevel="0" collapsed="false">
      <c r="A31" s="14"/>
      <c r="B31" s="15"/>
      <c r="C31" s="16"/>
      <c r="D31" s="15"/>
      <c r="E31" s="15"/>
      <c r="F31" s="15"/>
      <c r="G31" s="15"/>
      <c r="H31" s="15"/>
      <c r="I31" s="15"/>
      <c r="J31" s="15"/>
      <c r="K31" s="14"/>
      <c r="L31" s="17" t="str">
        <f aca="false">IF(C31="","",C31*IF(D31="USD",הגדרות!$B$4,IF(D31="EUR",הגדרות!$B$5,1)))</f>
        <v/>
      </c>
      <c r="M31" s="17" t="str">
        <f aca="false">IF(C31="","",IF(OR(E31="חודשי",E31="לפי שימוש"),L31,IF(E31="שנתי",L31/12,0)))</f>
        <v/>
      </c>
    </row>
  </sheetData>
  <autoFilter ref="A4:M31"/>
  <dataValidations count="6">
    <dataValidation allowBlank="true" errorStyle="stop" operator="between" showDropDown="false" showErrorMessage="false" showInputMessage="false" sqref="D5:D31" type="list">
      <formula1>"ILS,USD,EUR"</formula1>
      <formula2>0</formula2>
    </dataValidation>
    <dataValidation allowBlank="true" errorStyle="stop" operator="between" showDropDown="false" showErrorMessage="false" showInputMessage="false" sqref="E5:E31" type="list">
      <formula1>"חודשי,שנתי,חד-פעמי,לפי שימוש"</formula1>
      <formula2>0</formula2>
    </dataValidation>
    <dataValidation allowBlank="true" errorStyle="stop" operator="between" showDropDown="false" showErrorMessage="false" showInputMessage="false" sqref="F5:F31" type="list">
      <formula1>"פעיל,מתוכנן,בוטל"</formula1>
      <formula2>0</formula2>
    </dataValidation>
    <dataValidation allowBlank="true" errorStyle="stop" operator="between" showDropDown="false" showErrorMessage="false" showInputMessage="false" sqref="G5:G31" type="list">
      <formula1>"כן,לא"</formula1>
      <formula2>0</formula2>
    </dataValidation>
    <dataValidation allowBlank="true" errorStyle="stop" operator="between" showDropDown="false" showErrorMessage="false" showInputMessage="false" sqref="H5:H31" type="list">
      <formula1>"כן,לא"</formula1>
      <formula2>0</formula2>
    </dataValidation>
    <dataValidation allowBlank="true" errorStyle="stop" operator="between" showDropDown="false" showErrorMessage="false" showInputMessage="false" sqref="B5:B31" type="list">
      <formula1>"שרת,AI,וואטסאפ,כלים,שיווק,אחר"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2026-10-15T06:49:50Z</dcterms:created>
  <dc:creator>openpyxl</dc:creator>
  <dc:description/>
  <dc:language>en-US</dc:language>
  <cp:lastModifiedBy/>
  <dcterms:modified xsi:type="dcterms:W3CDTF">2026-10-15T06:49:50Z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