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חנן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<sst xmlns="http://schemas.openxmlformats.org/spreadsheetml/2006/main" count="67" uniqueCount="54">
  <si>
    <t xml:space="preserve">🔑 חנן המנעולן: כמה נכנס, כמה יוצא, ועל מי</t>
  </si>
  <si>
    <t xml:space="preserve">משנים רק תאים צהובים. כל השאר מחושב לבד. עוסק פטור: בלי מע"מ.</t>
  </si>
  <si>
    <t xml:space="preserve">💰 מה חנן משלם לנו</t>
  </si>
  <si>
    <t xml:space="preserve">מה</t>
  </si>
  <si>
    <t xml:space="preserve">סכום</t>
  </si>
  <si>
    <t xml:space="preserve">שולם?</t>
  </si>
  <si>
    <t xml:space="preserve">תאריך</t>
  </si>
  <si>
    <t xml:space="preserve">מי קיבל את הכסף</t>
  </si>
  <si>
    <t xml:space="preserve">הערה</t>
  </si>
  <si>
    <t xml:space="preserve">הקמה: מקדמה</t>
  </si>
  <si>
    <t xml:space="preserve">כן</t>
  </si>
  <si>
    <t xml:space="preserve">תאריך משוער, לתקן אם צריך</t>
  </si>
  <si>
    <t xml:space="preserve">הקמה: יתרה</t>
  </si>
  <si>
    <t xml:space="preserve">לא</t>
  </si>
  <si>
    <t xml:space="preserve">גובים ביום שהבוט עולה אצלו</t>
  </si>
  <si>
    <t xml:space="preserve">תשלום חודשי</t>
  </si>
  <si>
    <t xml:space="preserve">כל חודש</t>
  </si>
  <si>
    <t xml:space="preserve">מתחיל מהחודש שהבוט עולה</t>
  </si>
  <si>
    <t xml:space="preserve">💸 מה אנחנו משלמים בשביל חנן</t>
  </si>
  <si>
    <t xml:space="preserve">בחודש</t>
  </si>
  <si>
    <t xml:space="preserve">פעם אחת</t>
  </si>
  <si>
    <t xml:space="preserve">מתי</t>
  </si>
  <si>
    <t xml:space="preserve">על מי</t>
  </si>
  <si>
    <t xml:space="preserve">Cloudflare (השרת של הבוט)</t>
  </si>
  <si>
    <t xml:space="preserve">עכשיו</t>
  </si>
  <si>
    <t xml:space="preserve">השותף</t>
  </si>
  <si>
    <t xml:space="preserve">5 דולר לחודש</t>
  </si>
  <si>
    <t xml:space="preserve">Anthropic (המוח של הבוט)</t>
  </si>
  <si>
    <t xml:space="preserve">מ-21/10 על Sonnet: הערכה 2-3 דולר בחודש (על Opus היה בערך 11). "פעם אחת" = הטעינה הראשונה, 10 דולר</t>
  </si>
  <si>
    <t xml:space="preserve">Dualhook (החיבור הרשמי למספר של חנן)</t>
  </si>
  <si>
    <t xml:space="preserve">12 בחודש למספר של חנן. לבדוק ב-Billing אם דולר (בערך 42 ₪) או יורו (בערך 48 ₪). לא 49 יורו: זה היה המחיר של 360dialog שלא לקחנו</t>
  </si>
  <si>
    <t xml:space="preserve">Meta (תזכורות וביקורות)</t>
  </si>
  <si>
    <t xml:space="preserve">הערכה, אגורות להודעה, רק על הודעות ללקוח שלא כתב ב-24 שעות. החיוב בדולר</t>
  </si>
  <si>
    <t xml:space="preserve">GitHub (הקוד)</t>
  </si>
  <si>
    <t xml:space="preserve">אריאל</t>
  </si>
  <si>
    <t xml:space="preserve">חינם</t>
  </si>
  <si>
    <t xml:space="preserve">דומיין onerishon.com (הכתובת לכפתורים במייל)</t>
  </si>
  <si>
    <t xml:space="preserve">10.46 דולר לשנה, חידוש אוטומטי דלוק. "בחודש" = השנתי חלקי 12. "פעם אחת" = התשלום השנתי</t>
  </si>
  <si>
    <t xml:space="preserve">סה"כ</t>
  </si>
  <si>
    <t xml:space="preserve">📊 השורה התחתונה, בחודש</t>
  </si>
  <si>
    <t xml:space="preserve">עכשיו (לפני החיבור)</t>
  </si>
  <si>
    <t xml:space="preserve">אחרי החיבור</t>
  </si>
  <si>
    <t xml:space="preserve">נכנס מחנן</t>
  </si>
  <si>
    <t xml:space="preserve">לפני החיבור חנן עוד לא משלם חודשי</t>
  </si>
  <si>
    <t xml:space="preserve">יוצא</t>
  </si>
  <si>
    <t xml:space="preserve">נשאר לנו</t>
  </si>
  <si>
    <t xml:space="preserve">הקמה: שולם / עוד לגבות</t>
  </si>
  <si>
    <t xml:space="preserve">🤝 אריאל והשותף: מי שילם ומה מגיע לכל אחד (אחרי החיבור, בחודש)</t>
  </si>
  <si>
    <t xml:space="preserve">החלק ברווח</t>
  </si>
  <si>
    <t xml:space="preserve">משנים רק את החלק של אריאל</t>
  </si>
  <si>
    <t xml:space="preserve">משלם הוצאות בחודש</t>
  </si>
  <si>
    <t xml:space="preserve">החלק שלו ברווח</t>
  </si>
  <si>
    <t xml:space="preserve">מגיע לו מה-500 של חנן</t>
  </si>
  <si>
    <t xml:space="preserve">החזר על מה ששילם + החלק שלו ברווח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</si>
</sst>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₪#,##0;[RED]&quot;-₪&quot;#,##0;\-"/>
    <numFmt numFmtId="166" formatCode="dd/mm/yyyy"/>
    <numFmt numFmtId="167" formatCode="\₪#,##0.00;[RED]&quot;-₪&quot;#,##0.00;\-"/>
    <numFmt numFmtId="168" formatCode="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DDE6F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F7B6C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B03A2E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3"/>
      <color rgb="FF0F7B6C"/>
      <name val="Arial"/>
      <family val="0"/>
      <charset val="1"/>
    </font>
    <font>
      <i val="true"/>
      <sz val="10"/>
      <color rgb="FF777777"/>
      <name val="Arial"/>
      <family val="0"/>
      <charset val="1"/>
    </font>
    <font>
      <b val="true"/>
      <sz val="13"/>
      <color rgb="FFB03A2E"/>
      <name val="Arial"/>
      <family val="0"/>
      <charset val="1"/>
    </font>
    <font>
      <b val="true"/>
      <sz val="13"/>
      <color rgb="FF1E8449"/>
      <name val="Arial"/>
      <family val="0"/>
      <charset val="1"/>
    </font>
    <font>
      <b val="true"/>
      <sz val="11"/>
      <color rgb="FF1E8449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sz val="11"/>
      <color rgb="FFB03A2E"/>
      <name val="Arial"/>
      <family val="0"/>
      <charset val="1"/>
    </font>
    <font>
      <sz val="11"/>
      <color rgb="FF1E8449"/>
      <name val="Arial"/>
      <family val="0"/>
      <charset val="1"/>
    </font>
    <font>
      <b val="true"/>
      <sz val="13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0F7B6C"/>
        <bgColor rgb="FF008080"/>
      </patternFill>
    </fill>
    <fill>
      <patternFill patternType="solid">
        <fgColor rgb="FFEEF3F8"/>
        <bgColor rgb="FFDFF3E6"/>
      </patternFill>
    </fill>
    <fill>
      <patternFill patternType="solid">
        <fgColor rgb="FFFFF7D6"/>
        <bgColor rgb="FFFFF3D6"/>
      </patternFill>
    </fill>
    <fill>
      <patternFill patternType="solid">
        <fgColor rgb="FFB03A2E"/>
        <bgColor rgb="FF993366"/>
      </patternFill>
    </fill>
    <fill>
      <patternFill patternType="solid">
        <fgColor rgb="FFB7791F"/>
        <bgColor rgb="FFFF6600"/>
      </patternFill>
    </fill>
    <fill>
      <patternFill patternType="solid">
        <fgColor rgb="FFFFF3D6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8449"/>
      </font>
      <fill>
        <patternFill>
          <bgColor rgb="FFDFF3E6"/>
        </patternFill>
      </fill>
    </dxf>
    <dxf>
      <font>
        <name val="Arial"/>
        <charset val="1"/>
        <family val="0"/>
        <b val="1"/>
        <color rgb="FFB03A2E"/>
      </font>
      <fill>
        <patternFill>
          <bgColor rgb="FFFBE3E0"/>
        </patternFill>
      </fill>
    </dxf>
    <dxf>
      <font>
        <name val="Arial"/>
        <charset val="1"/>
        <family val="0"/>
        <b val="1"/>
        <color rgb="FFB7791F"/>
      </font>
    </dxf>
    <dxf>
      <font>
        <name val="Arial"/>
        <charset val="1"/>
        <family val="0"/>
        <color rgb="FF999999"/>
      </font>
    </dxf>
    <dxf>
      <fill>
        <patternFill>
          <bgColor rgb="FFFBE3E0"/>
        </patternFill>
      </fill>
    </dxf>
    <dxf>
      <fill>
        <patternFill>
          <bgColor rgb="FFDFF3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0F7B6C"/>
      <rgbColor rgb="FFC0C0C0"/>
      <rgbColor rgb="FF777777"/>
      <rgbColor rgb="FF9999FF"/>
      <rgbColor rgb="FF993366"/>
      <rgbColor rgb="FFFFF7D6"/>
      <rgbColor rgb="FFDFF3E6"/>
      <rgbColor rgb="FF660066"/>
      <rgbColor rgb="FFFF8080"/>
      <rgbColor rgb="FF0066CC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8"/>
      <rgbColor rgb="FFDDE6F0"/>
      <rgbColor rgb="FFFFF3D6"/>
      <rgbColor rgb="FF99CCFF"/>
      <rgbColor rgb="FFFF99CC"/>
      <rgbColor rgb="FFCC99FF"/>
      <rgbColor rgb="FFFBE3E0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1E8449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6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24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v>1000</v>
      </c>
      <c r="C6" s="8" t="s">
        <v>10</v>
      </c>
      <c r="D6" s="9" t="n">
        <v>46305</v>
      </c>
      <c r="E6" s="8"/>
      <c r="F6" s="10" t="s">
        <v>11</v>
      </c>
    </row>
    <row r="7" customFormat="false" ht="15" hidden="false" customHeight="true" outlineLevel="0" collapsed="false">
      <c r="A7" s="6" t="s">
        <v>12</v>
      </c>
      <c r="B7" s="7" t="n">
        <v>1500</v>
      </c>
      <c r="C7" s="8" t="s">
        <v>13</v>
      </c>
      <c r="D7" s="9"/>
      <c r="E7" s="8"/>
      <c r="F7" s="10" t="s">
        <v>14</v>
      </c>
    </row>
    <row r="8" customFormat="false" ht="15" hidden="false" customHeight="true" outlineLevel="0" collapsed="false">
      <c r="A8" s="6" t="s">
        <v>15</v>
      </c>
      <c r="B8" s="7" t="n">
        <v>500</v>
      </c>
      <c r="C8" s="8" t="s">
        <v>16</v>
      </c>
      <c r="D8" s="9"/>
      <c r="E8" s="8"/>
      <c r="F8" s="10" t="s">
        <v>17</v>
      </c>
    </row>
    <row r="10" customFormat="false" ht="24" hidden="false" customHeight="true" outlineLevel="0" collapsed="false">
      <c r="A10" s="11" t="s">
        <v>18</v>
      </c>
      <c r="B10" s="11"/>
      <c r="C10" s="11"/>
      <c r="D10" s="11"/>
      <c r="E10" s="11"/>
      <c r="F10" s="11"/>
    </row>
    <row r="11" customFormat="false" ht="15" hidden="false" customHeight="true" outlineLevel="0" collapsed="false">
      <c r="A11" s="12" t="s">
        <v>3</v>
      </c>
      <c r="B11" s="12" t="s">
        <v>19</v>
      </c>
      <c r="C11" s="12" t="s">
        <v>20</v>
      </c>
      <c r="D11" s="12" t="s">
        <v>21</v>
      </c>
      <c r="E11" s="12" t="s">
        <v>22</v>
      </c>
      <c r="F11" s="12" t="s">
        <v>8</v>
      </c>
    </row>
    <row r="12" customFormat="false" ht="15" hidden="false" customHeight="true" outlineLevel="0" collapsed="false">
      <c r="A12" s="6" t="s">
        <v>23</v>
      </c>
      <c r="B12" s="13" t="n">
        <v>18.5</v>
      </c>
      <c r="C12" s="13"/>
      <c r="D12" s="8" t="s">
        <v>24</v>
      </c>
      <c r="E12" s="8" t="s">
        <v>25</v>
      </c>
      <c r="F12" s="10" t="s">
        <v>26</v>
      </c>
    </row>
    <row r="13" customFormat="false" ht="23.25" hidden="false" customHeight="true" outlineLevel="0" collapsed="false">
      <c r="A13" s="6" t="s">
        <v>27</v>
      </c>
      <c r="B13" s="13" t="n">
        <v>10</v>
      </c>
      <c r="C13" s="13" t="n">
        <v>37</v>
      </c>
      <c r="D13" s="8" t="s">
        <v>24</v>
      </c>
      <c r="E13" s="8" t="s">
        <v>25</v>
      </c>
      <c r="F13" s="10" t="s">
        <v>28</v>
      </c>
    </row>
    <row r="14" customFormat="false" ht="15" hidden="false" customHeight="true" outlineLevel="0" collapsed="false">
      <c r="A14" s="6" t="s">
        <v>29</v>
      </c>
      <c r="B14" s="13" t="n">
        <v>45</v>
      </c>
      <c r="C14" s="13"/>
      <c r="D14" s="8" t="s">
        <v>24</v>
      </c>
      <c r="E14" s="8" t="s">
        <v>25</v>
      </c>
      <c r="F14" s="10" t="s">
        <v>30</v>
      </c>
    </row>
    <row r="15" customFormat="false" ht="26.25" hidden="false" customHeight="true" outlineLevel="0" collapsed="false">
      <c r="A15" s="6" t="s">
        <v>31</v>
      </c>
      <c r="B15" s="13" t="n">
        <v>10</v>
      </c>
      <c r="C15" s="13"/>
      <c r="D15" s="8" t="s">
        <v>24</v>
      </c>
      <c r="E15" s="8" t="s">
        <v>25</v>
      </c>
      <c r="F15" s="10" t="s">
        <v>32</v>
      </c>
    </row>
    <row r="16" customFormat="false" ht="15" hidden="false" customHeight="true" outlineLevel="0" collapsed="false">
      <c r="A16" s="6" t="s">
        <v>33</v>
      </c>
      <c r="B16" s="13" t="n">
        <v>0</v>
      </c>
      <c r="C16" s="13"/>
      <c r="D16" s="8" t="s">
        <v>24</v>
      </c>
      <c r="E16" s="8" t="s">
        <v>34</v>
      </c>
      <c r="F16" s="10" t="s">
        <v>35</v>
      </c>
    </row>
    <row r="17" customFormat="false" ht="15" hidden="false" customHeight="true" outlineLevel="0" collapsed="false">
      <c r="A17" s="6" t="s">
        <v>36</v>
      </c>
      <c r="B17" s="13" t="n">
        <v>3</v>
      </c>
      <c r="C17" s="13" t="n">
        <v>38</v>
      </c>
      <c r="D17" s="8" t="s">
        <v>24</v>
      </c>
      <c r="E17" s="8" t="s">
        <v>25</v>
      </c>
      <c r="F17" s="10" t="s">
        <v>37</v>
      </c>
    </row>
    <row r="18" customFormat="false" ht="15" hidden="false" customHeight="true" outlineLevel="0" collapsed="false">
      <c r="A18" s="6"/>
      <c r="B18" s="13"/>
      <c r="C18" s="13"/>
      <c r="D18" s="8"/>
      <c r="E18" s="8"/>
      <c r="F18" s="14"/>
    </row>
    <row r="19" customFormat="false" ht="15" hidden="false" customHeight="true" outlineLevel="0" collapsed="false">
      <c r="A19" s="6"/>
      <c r="B19" s="13"/>
      <c r="C19" s="13"/>
      <c r="D19" s="8"/>
      <c r="E19" s="8"/>
      <c r="F19" s="14"/>
    </row>
    <row r="20" customFormat="false" ht="15" hidden="false" customHeight="true" outlineLevel="0" collapsed="false">
      <c r="A20" s="6"/>
      <c r="B20" s="13"/>
      <c r="C20" s="13"/>
      <c r="D20" s="8"/>
      <c r="E20" s="8"/>
      <c r="F20" s="14"/>
    </row>
    <row r="21" customFormat="false" ht="15" hidden="false" customHeight="true" outlineLevel="0" collapsed="false">
      <c r="A21" s="15" t="s">
        <v>38</v>
      </c>
      <c r="B21" s="16" t="n">
        <f aca="false">SUMIFS(B12:B20,D12:D20,"&lt;&gt;בוטל")</f>
        <v>86.5</v>
      </c>
      <c r="C21" s="16" t="n">
        <f aca="false">SUMIFS(C12:C20,D12:D20,"&lt;&gt;בוטל")</f>
        <v>75</v>
      </c>
      <c r="D21" s="17"/>
      <c r="E21" s="17"/>
      <c r="F21" s="17"/>
    </row>
    <row r="23" customFormat="false" ht="24" hidden="false" customHeight="true" outlineLevel="0" collapsed="false">
      <c r="A23" s="18" t="s">
        <v>39</v>
      </c>
      <c r="B23" s="18"/>
      <c r="C23" s="18"/>
      <c r="D23" s="18"/>
      <c r="E23" s="18"/>
      <c r="F23" s="18"/>
    </row>
    <row r="24" customFormat="false" ht="26.25" hidden="false" customHeight="true" outlineLevel="0" collapsed="false">
      <c r="B24" s="19" t="s">
        <v>40</v>
      </c>
      <c r="C24" s="19" t="s">
        <v>41</v>
      </c>
    </row>
    <row r="25" customFormat="false" ht="15.75" hidden="false" customHeight="true" outlineLevel="0" collapsed="false">
      <c r="A25" s="20" t="s">
        <v>42</v>
      </c>
      <c r="B25" s="21" t="n">
        <f aca="false">0</f>
        <v>0</v>
      </c>
      <c r="C25" s="21" t="n">
        <f aca="false">B8</f>
        <v>500</v>
      </c>
      <c r="D25" s="22" t="s">
        <v>43</v>
      </c>
      <c r="E25" s="22"/>
      <c r="F25" s="22"/>
    </row>
    <row r="26" customFormat="false" ht="15.75" hidden="false" customHeight="true" outlineLevel="0" collapsed="false">
      <c r="A26" s="20" t="s">
        <v>44</v>
      </c>
      <c r="B26" s="23" t="n">
        <f aca="false">SUMIFS(B12:B20,D12:D20,"עכשיו")</f>
        <v>86.5</v>
      </c>
      <c r="C26" s="23" t="n">
        <f aca="false">SUMIFS(B12:B20,D12:D20,"&lt;&gt;בוטל")</f>
        <v>86.5</v>
      </c>
    </row>
    <row r="27" customFormat="false" ht="15.75" hidden="false" customHeight="true" outlineLevel="0" collapsed="false">
      <c r="A27" s="20" t="s">
        <v>45</v>
      </c>
      <c r="B27" s="24" t="n">
        <f aca="false">B25-B26</f>
        <v>-86.5</v>
      </c>
      <c r="C27" s="24" t="n">
        <f aca="false">C25-C26</f>
        <v>413.5</v>
      </c>
    </row>
    <row r="28" customFormat="false" ht="15" hidden="false" customHeight="true" outlineLevel="0" collapsed="false">
      <c r="A28" s="20" t="s">
        <v>46</v>
      </c>
      <c r="B28" s="25" t="n">
        <f aca="false">SUMIFS(B6:B7,C6:C7,"כן")</f>
        <v>1000</v>
      </c>
      <c r="C28" s="26" t="n">
        <f aca="false">SUMIFS(B6:B7,C6:C7,"לא")</f>
        <v>1500</v>
      </c>
    </row>
    <row r="30" customFormat="false" ht="24" hidden="false" customHeight="true" outlineLevel="0" collapsed="false">
      <c r="A30" s="27" t="s">
        <v>47</v>
      </c>
      <c r="B30" s="27"/>
      <c r="C30" s="27"/>
      <c r="D30" s="27"/>
      <c r="E30" s="27"/>
      <c r="F30" s="27"/>
    </row>
    <row r="31" customFormat="false" ht="15" hidden="false" customHeight="true" outlineLevel="0" collapsed="false">
      <c r="B31" s="28" t="s">
        <v>34</v>
      </c>
      <c r="C31" s="28" t="s">
        <v>25</v>
      </c>
    </row>
    <row r="32" customFormat="false" ht="15" hidden="false" customHeight="true" outlineLevel="0" collapsed="false">
      <c r="A32" s="20" t="s">
        <v>48</v>
      </c>
      <c r="B32" s="29" t="n">
        <v>0.5</v>
      </c>
      <c r="C32" s="30" t="n">
        <f aca="false">1-B32</f>
        <v>0.5</v>
      </c>
      <c r="D32" s="22" t="s">
        <v>49</v>
      </c>
      <c r="E32" s="22"/>
      <c r="F32" s="22"/>
    </row>
    <row r="33" customFormat="false" ht="15" hidden="false" customHeight="true" outlineLevel="0" collapsed="false">
      <c r="A33" s="20" t="s">
        <v>50</v>
      </c>
      <c r="B33" s="31" t="n">
        <f aca="false">SUMIFS(B12:B20,D12:D20,"&lt;&gt;בוטל",E12:E20,"אריאל")+SUMIFS(B12:B20,D12:D20,"&lt;&gt;בוטל",E12:E20,"חצי חצי")/2</f>
        <v>0</v>
      </c>
      <c r="C33" s="31" t="n">
        <f aca="false">SUMIFS(B12:B20,D12:D20,"&lt;&gt;בוטל",E12:E20,"השותף")+SUMIFS(B12:B20,D12:D20,"&lt;&gt;בוטל",E12:E20,"חצי חצי")/2</f>
        <v>86.5</v>
      </c>
    </row>
    <row r="34" customFormat="false" ht="15" hidden="false" customHeight="true" outlineLevel="0" collapsed="false">
      <c r="A34" s="20" t="s">
        <v>51</v>
      </c>
      <c r="B34" s="32" t="n">
        <f aca="false">C27*B32</f>
        <v>206.75</v>
      </c>
      <c r="C34" s="32" t="n">
        <f aca="false">C27*C32</f>
        <v>206.75</v>
      </c>
    </row>
    <row r="35" customFormat="false" ht="15.75" hidden="false" customHeight="true" outlineLevel="0" collapsed="false">
      <c r="A35" s="33" t="s">
        <v>52</v>
      </c>
      <c r="B35" s="34" t="n">
        <f aca="false">B33+B34</f>
        <v>206.75</v>
      </c>
      <c r="C35" s="34" t="n">
        <f aca="false">C33+C34</f>
        <v>293.25</v>
      </c>
      <c r="D35" s="22" t="s">
        <v>53</v>
      </c>
      <c r="E35" s="22"/>
      <c r="F35" s="22"/>
    </row>
  </sheetData>
  <mergeCells count="9">
    <mergeCell ref="A1:F1"/>
    <mergeCell ref="A2:F2"/>
    <mergeCell ref="A4:F4"/>
    <mergeCell ref="A10:F10"/>
    <mergeCell ref="A23:F23"/>
    <mergeCell ref="D25:F25"/>
    <mergeCell ref="A30:F30"/>
    <mergeCell ref="D32:F32"/>
    <mergeCell ref="D35:F35"/>
  </mergeCells>
  <conditionalFormatting sqref="C6:C7">
    <cfRule type="cellIs" priority="2" operator="equal" aboveAverage="0" equalAverage="0" bottom="0" percent="0" rank="0" text="" dxfId="0">
      <formula>"כן"</formula>
    </cfRule>
    <cfRule type="cellIs" priority="3" operator="equal" aboveAverage="0" equalAverage="0" bottom="0" percent="0" rank="0" text="" dxfId="1">
      <formula>"לא"</formula>
    </cfRule>
  </conditionalFormatting>
  <conditionalFormatting sqref="D12:D20">
    <cfRule type="cellIs" priority="4" operator="equal" aboveAverage="0" equalAverage="0" bottom="0" percent="0" rank="0" text="" dxfId="2">
      <formula>"מיום החיבור"</formula>
    </cfRule>
    <cfRule type="cellIs" priority="5" operator="equal" aboveAverage="0" equalAverage="0" bottom="0" percent="0" rank="0" text="" dxfId="3">
      <formula>"בוטל"</formula>
    </cfRule>
  </conditionalFormatting>
  <conditionalFormatting sqref="B27:C27">
    <cfRule type="cellIs" priority="6" operator="lessThan" aboveAverage="0" equalAverage="0" bottom="0" percent="0" rank="0" text="" dxfId="4">
      <formula>0</formula>
    </cfRule>
    <cfRule type="cellIs" priority="7" operator="greaterThan" aboveAverage="0" equalAverage="0" bottom="0" percent="0" rank="0" text="" dxfId="5">
      <formula>0</formula>
    </cfRule>
  </conditionalFormatting>
  <dataValidations count="4">
    <dataValidation allowBlank="false" errorStyle="stop" operator="between" showDropDown="false" showErrorMessage="false" showInputMessage="false" sqref="C6:C7" type="list">
      <formula1>"כן,לא"</formula1>
      <formula2>0</formula2>
    </dataValidation>
    <dataValidation allowBlank="true" errorStyle="stop" operator="between" showDropDown="false" showErrorMessage="false" showInputMessage="false" sqref="E6:E8" type="list">
      <formula1>"אריאל,השותף,חצי חצי"</formula1>
      <formula2>0</formula2>
    </dataValidation>
    <dataValidation allowBlank="false" errorStyle="stop" operator="between" showDropDown="false" showErrorMessage="false" showInputMessage="false" sqref="D12:D20" type="list">
      <formula1>"עכשיו,מיום החיבור,בוטל"</formula1>
      <formula2>0</formula2>
    </dataValidation>
    <dataValidation allowBlank="false" errorStyle="stop" operator="between" showDropDown="false" showErrorMessage="false" showInputMessage="false" sqref="E12:E20" type="list">
      <formula1>"אריאל,השותף,חצי חצי"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2026-10-16T08:52:00Z</dcterms:created>
  <dc:creator>openpyxl</dc:creator>
  <dc:description/>
  <dc:language>en-US</dc:language>
  <cp:lastModifiedBy/>
  <dcterms:modified xsi:type="dcterms:W3CDTF">2026-10-21T11:28:25Z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