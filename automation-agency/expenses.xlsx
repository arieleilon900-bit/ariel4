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לוח בקרה" sheetId="1" state="visible" r:id="rId3"/>
    <sheet name="חודשים" sheetId="2" state="visible" r:id="rId4"/>
    <sheet name="לקוחות" sheetId="3" state="visible" r:id="rId5"/>
    <sheet name="הוצאות" sheetId="4" state="visible" r:id="rId6"/>
    <sheet name="לפי מספר לקוחות" sheetId="5" state="visible" r:id="rId7"/>
    <sheet name="הגדרות" sheetId="6" state="visible" r:id="rId8"/>
  </sheets>
  <definedNames>
    <definedName function="false" hidden="true" localSheetId="3" name="_xlnm._FilterDatabase" vbProcedure="false">הוצאות!$A$4:$M$30</definedName>
    <definedName function="false" hidden="true" localSheetId="2" name="_xlnm._FilterDatabase" vbProcedure="false">לקוחות!$A$4:$S$40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" authorId="0">
      <text>
        <r>
          <rPr>
            <sz val="10"/>
            <rFont val="FreeSans"/>
            <family val="2"/>
          </rPr>
          <t xml:space="preserve">תאריך משוער. לעדכן ביום שהבוט עולה אצל חנן</t>
        </r>
      </text>
    </comment>
    <comment ref="M5" authorId="0">
      <text>
        <r>
          <rPr>
            <sz val="10"/>
            <rFont val="FreeSans"/>
            <family val="2"/>
          </rPr>
          <t xml:space="preserve">תאריך משוער של המקדמה. לתקן אם צריך</t>
        </r>
      </text>
    </comment>
  </commentList>
</comments>
</file>

<file path=xl/sharedStrings.xml><?xml version="1.0" encoding="utf-8"?>
<sst xmlns="http://schemas.openxmlformats.org/spreadsheetml/2006/main" count="191" uniqueCount="156">
  <si>
    <t xml:space="preserve">📊 עונה ראשון: לוח בקרה</t>
  </si>
  <si>
    <t xml:space="preserve">הכל מתעדכן לבד. משנים חודש ויעדים ב"הגדרות", לקוחות ב"לקוחות", הוצאות ב"הוצאות".</t>
  </si>
  <si>
    <t xml:space="preserve">החודש שמוצג:</t>
  </si>
  <si>
    <t xml:space="preserve">לשנות חודש: בגיליון "הגדרות"</t>
  </si>
  <si>
    <t xml:space="preserve">👥 לקוחות פעילים</t>
  </si>
  <si>
    <t xml:space="preserve">💰 הכנסות החודש</t>
  </si>
  <si>
    <t xml:space="preserve">💸 הוצאות החודש</t>
  </si>
  <si>
    <t xml:space="preserve">📈 רווח החודש</t>
  </si>
  <si>
    <t xml:space="preserve">🏦 רווח מצטבר</t>
  </si>
  <si>
    <t xml:space="preserve">⏳ עוד לגבות מלקוחות</t>
  </si>
  <si>
    <t xml:space="preserve">🧾 הכנסה מתחילת השנה</t>
  </si>
  <si>
    <t xml:space="preserve">🧮 עלות חודשית ללקוח</t>
  </si>
  <si>
    <t xml:space="preserve">🎯 יעדים</t>
  </si>
  <si>
    <t xml:space="preserve">היעד</t>
  </si>
  <si>
    <t xml:space="preserve">עכשיו</t>
  </si>
  <si>
    <t xml:space="preserve">המטרה</t>
  </si>
  <si>
    <t xml:space="preserve">התקדמות</t>
  </si>
  <si>
    <t xml:space="preserve">%</t>
  </si>
  <si>
    <t xml:space="preserve">לקוחות פעילים לחודש הזה</t>
  </si>
  <si>
    <t xml:space="preserve">רווח חודשי</t>
  </si>
  <si>
    <t xml:space="preserve">תקרת עוסק פטור (כמה ניצלנו השנה)</t>
  </si>
  <si>
    <t xml:space="preserve">💡 תקרת עוסק פטור: כשמתקרבים ל-80% מדברים עם רואה חשבון על מעבר לעוסק מורשה.</t>
  </si>
  <si>
    <t xml:space="preserve">📉 גרפים</t>
  </si>
  <si>
    <t xml:space="preserve">📅 חודש אחרי חודש</t>
  </si>
  <si>
    <t xml:space="preserve">הכל מחושב לבד מ"לקוחות" ומ"הוצאות". את "יעד לקוחות" (צהוב) קובעים אתם.</t>
  </si>
  <si>
    <t xml:space="preserve">חודש</t>
  </si>
  <si>
    <t xml:space="preserve">לקוחות פעילים</t>
  </si>
  <si>
    <t xml:space="preserve">לקוחות חדשים</t>
  </si>
  <si>
    <t xml:space="preserve">🎯 יעד לקוחות</t>
  </si>
  <si>
    <t xml:space="preserve">הכנסה מדמי חודש</t>
  </si>
  <si>
    <t xml:space="preserve">הכנסה מהקמה</t>
  </si>
  <si>
    <t xml:space="preserve">סה"כ הכנסות</t>
  </si>
  <si>
    <t xml:space="preserve">הוצאות קבועות</t>
  </si>
  <si>
    <t xml:space="preserve">הוצאות לפי לקוחות</t>
  </si>
  <si>
    <t xml:space="preserve">הוצאות חד-פעמיות</t>
  </si>
  <si>
    <t xml:space="preserve">סה"כ הוצאות</t>
  </si>
  <si>
    <t xml:space="preserve">רווח החודש</t>
  </si>
  <si>
    <t xml:space="preserve">רווח מצטבר</t>
  </si>
  <si>
    <t xml:space="preserve">% רווח</t>
  </si>
  <si>
    <t xml:space="preserve">הכנסה מתחילת השנה</t>
  </si>
  <si>
    <t xml:space="preserve">% מתקרת עוסק פטור</t>
  </si>
  <si>
    <t xml:space="preserve">רווח אם עומדים ביעד</t>
  </si>
  <si>
    <t xml:space="preserve">עמידה ביעד</t>
  </si>
  <si>
    <t xml:space="preserve">סה"כ</t>
  </si>
  <si>
    <t xml:space="preserve">👥 לקוחות</t>
  </si>
  <si>
    <t xml:space="preserve">כל לקוח בשורה. "מצב": ליד = עוד לא סגרנו (לא נספר בהכנסות). תאריך סיום רק אם עזב.</t>
  </si>
  <si>
    <t xml:space="preserve">#</t>
  </si>
  <si>
    <t xml:space="preserve">שם הלקוח</t>
  </si>
  <si>
    <t xml:space="preserve">עסק</t>
  </si>
  <si>
    <t xml:space="preserve">נישה</t>
  </si>
  <si>
    <t xml:space="preserve">עיר</t>
  </si>
  <si>
    <t xml:space="preserve">טלפון</t>
  </si>
  <si>
    <t xml:space="preserve">מצב</t>
  </si>
  <si>
    <t xml:space="preserve">תאריך התחלה</t>
  </si>
  <si>
    <t xml:space="preserve">תאריך סיום</t>
  </si>
  <si>
    <t xml:space="preserve">מחיר חודשי (₪)</t>
  </si>
  <si>
    <t xml:space="preserve">מחיר הקמה (₪)</t>
  </si>
  <si>
    <t xml:space="preserve">מקדמה ששולמה (₪)</t>
  </si>
  <si>
    <t xml:space="preserve">תאריך מקדמה</t>
  </si>
  <si>
    <t xml:space="preserve">יתרת הקמה ששולמה (₪)</t>
  </si>
  <si>
    <t xml:space="preserve">תאריך יתרה</t>
  </si>
  <si>
    <t xml:space="preserve">עוד לגבות (₪)</t>
  </si>
  <si>
    <t xml:space="preserve">חודשים איתנו</t>
  </si>
  <si>
    <t xml:space="preserve">הכנסה עד היום (₪)</t>
  </si>
  <si>
    <t xml:space="preserve">הערות</t>
  </si>
  <si>
    <t xml:space="preserve">חנן</t>
  </si>
  <si>
    <t xml:space="preserve">חנן המנעולן - פתרונות נעילה מתקדמים</t>
  </si>
  <si>
    <t xml:space="preserve">מנעולן</t>
  </si>
  <si>
    <t xml:space="preserve">נתניה</t>
  </si>
  <si>
    <t xml:space="preserve">050-3429998</t>
  </si>
  <si>
    <t xml:space="preserve">בהקמה</t>
  </si>
  <si>
    <t xml:space="preserve">הלקוח הראשון. תאריך התחלה משוער: לעדכן ביום החיבור. לגבות את היתרה ביום שהבוט עולה</t>
  </si>
  <si>
    <t xml:space="preserve">💸 הוצאות</t>
  </si>
  <si>
    <t xml:space="preserve">שורה לכל דבר שמשלמים עליו. "קבוע" = פעם אחת לכל הלקוחות. "לכל לקוח" = מוכפל במספר הלקוחות בכל חודש.</t>
  </si>
  <si>
    <t xml:space="preserve">מה</t>
  </si>
  <si>
    <t xml:space="preserve">קטגוריה</t>
  </si>
  <si>
    <t xml:space="preserve">סכום</t>
  </si>
  <si>
    <t xml:space="preserve">מטבע</t>
  </si>
  <si>
    <t xml:space="preserve">תדירות</t>
  </si>
  <si>
    <t xml:space="preserve">סוג</t>
  </si>
  <si>
    <t xml:space="preserve">מתאריך</t>
  </si>
  <si>
    <t xml:space="preserve">עד תאריך</t>
  </si>
  <si>
    <t xml:space="preserve">על שם</t>
  </si>
  <si>
    <t xml:space="preserve">הערה</t>
  </si>
  <si>
    <t xml:space="preserve">בשקלים</t>
  </si>
  <si>
    <t xml:space="preserve">לחודש (₪)</t>
  </si>
  <si>
    <t xml:space="preserve">Cloudflare (השרת)</t>
  </si>
  <si>
    <t xml:space="preserve">שרת</t>
  </si>
  <si>
    <t xml:space="preserve">USD</t>
  </si>
  <si>
    <t xml:space="preserve">חודשי</t>
  </si>
  <si>
    <t xml:space="preserve">קבוע</t>
  </si>
  <si>
    <t xml:space="preserve">פעיל</t>
  </si>
  <si>
    <t xml:space="preserve">מייל העסק</t>
  </si>
  <si>
    <t xml:space="preserve">השרת ומסד הנתונים של כל הבוטים ביחד</t>
  </si>
  <si>
    <t xml:space="preserve">UltraMsg (מספר הדמו והבדיקות)</t>
  </si>
  <si>
    <t xml:space="preserve">וואטסאפ</t>
  </si>
  <si>
    <t xml:space="preserve">השותף</t>
  </si>
  <si>
    <t xml:space="preserve">אפשר לבטל אחרי שחנן עובר ל-360dialog, אבל אז אין מספר דמו למכירות</t>
  </si>
  <si>
    <t xml:space="preserve">GitHub (הקוד)</t>
  </si>
  <si>
    <t xml:space="preserve">כלים</t>
  </si>
  <si>
    <t xml:space="preserve">ILS</t>
  </si>
  <si>
    <t xml:space="preserve">אריאל</t>
  </si>
  <si>
    <t xml:space="preserve">חינם</t>
  </si>
  <si>
    <t xml:space="preserve">Anthropic, טעינה ראשונה</t>
  </si>
  <si>
    <t xml:space="preserve">AI</t>
  </si>
  <si>
    <t xml:space="preserve">חד-פעמי</t>
  </si>
  <si>
    <t xml:space="preserve">שולם</t>
  </si>
  <si>
    <t xml:space="preserve">Anthropic, שימוש (המוח)</t>
  </si>
  <si>
    <t xml:space="preserve">לפי שימוש</t>
  </si>
  <si>
    <t xml:space="preserve">לכל לקוח</t>
  </si>
  <si>
    <t xml:space="preserve">הערכה ל-85 פניות בחודש, עם זיכרון זמני. טעינה אוטומטית: מ-5 ל-15 דולר</t>
  </si>
  <si>
    <t xml:space="preserve">360dialog, חיבור רשמי למספר של הלקוח</t>
  </si>
  <si>
    <t xml:space="preserve">EUR</t>
  </si>
  <si>
    <t xml:space="preserve">מתוכנן</t>
  </si>
  <si>
    <t xml:space="preserve">תאריך משוער: ביום החיבור של חנן</t>
  </si>
  <si>
    <t xml:space="preserve">Meta, תזכורות וביקורות</t>
  </si>
  <si>
    <t xml:space="preserve">הערכה. אגורות להודעה</t>
  </si>
  <si>
    <t xml:space="preserve">סה"כ לחודש</t>
  </si>
  <si>
    <t xml:space="preserve">הוצאות בחודש לפי קטגוריה (עם לקוח אחד)</t>
  </si>
  <si>
    <t xml:space="preserve">שיווק</t>
  </si>
  <si>
    <t xml:space="preserve">הנהלת חשבונות</t>
  </si>
  <si>
    <t xml:space="preserve">אחר</t>
  </si>
  <si>
    <t xml:space="preserve">🚀 כמה נשאר לנו לפי מספר לקוחות</t>
  </si>
  <si>
    <t xml:space="preserve">חנן במחיר שלו, וכל לקוח חדש במחיר מ"הגדרות". הוצאות קבועות פעם אחת, הוצאות לפי לקוח כפול מספר הלקוחות.</t>
  </si>
  <si>
    <t xml:space="preserve">לקוחות</t>
  </si>
  <si>
    <t xml:space="preserve">הכנסה בחודש</t>
  </si>
  <si>
    <t xml:space="preserve">הוצאות לפי לקוח</t>
  </si>
  <si>
    <t xml:space="preserve">נשאר בחודש</t>
  </si>
  <si>
    <t xml:space="preserve">נשאר מכל לקוח</t>
  </si>
  <si>
    <t xml:space="preserve">נשאר בשנה</t>
  </si>
  <si>
    <t xml:space="preserve">הכנסה בשנה (חודשי בלבד)</t>
  </si>
  <si>
    <t xml:space="preserve">מעל תקרת עוסק פטור?</t>
  </si>
  <si>
    <t xml:space="preserve">שימו לב: "הכנסה בשנה" כאן בלי דמי הקמה. גם הם נספרים לתקרת עוסק פטור.</t>
  </si>
  <si>
    <t xml:space="preserve">⚙️ הגדרות</t>
  </si>
  <si>
    <t xml:space="preserve">תאים צהובים עם כתב כחול: מכאן משנים. כל השאר בכל הקובץ מחושב לבד.</t>
  </si>
  <si>
    <t xml:space="preserve">הגדרה</t>
  </si>
  <si>
    <t xml:space="preserve">ערך</t>
  </si>
  <si>
    <t xml:space="preserve">הסבר</t>
  </si>
  <si>
    <t xml:space="preserve">שער דולר (₪)</t>
  </si>
  <si>
    <t xml:space="preserve">שער עבודה. לעדכן מדי פעם לפי השער היציג</t>
  </si>
  <si>
    <t xml:space="preserve">שער יורו (₪)</t>
  </si>
  <si>
    <t xml:space="preserve">מחיר חודשי של חנן (₪)</t>
  </si>
  <si>
    <t xml:space="preserve">עוסק פטור: בלי מע"מ, כל הסכום שלנו</t>
  </si>
  <si>
    <t xml:space="preserve">מחיר חודשי ללקוח חדש (₪)</t>
  </si>
  <si>
    <t xml:space="preserve">בלי "+ מע"מ"</t>
  </si>
  <si>
    <t xml:space="preserve">מחיר הקמה ללקוח חדש (₪)</t>
  </si>
  <si>
    <t xml:space="preserve">תקרת עוסק פטור בשנה (₪)</t>
  </si>
  <si>
    <t xml:space="preserve">הערכה. לוודא את התקרה המעודכנת עם רואה חשבון. גם דמי הקמה נספרים</t>
  </si>
  <si>
    <t xml:space="preserve">יעד רווח חודשי (₪)</t>
  </si>
  <si>
    <t xml:space="preserve">היעד שלנו לרווח בחודש. משנים כשרוצים</t>
  </si>
  <si>
    <t xml:space="preserve">החודש שמוצג בלוח הבקרה</t>
  </si>
  <si>
    <t xml:space="preserve">בוחרים חודש מהרשימה (היום הראשון בחודש)</t>
  </si>
  <si>
    <t xml:space="preserve">עלות חודשית ללקוח אחד (מחושב מ"הוצאות")</t>
  </si>
  <si>
    <t xml:space="preserve">360dialog, המוח, Meta. משמש לחישוב "רווח אם עומדים ביעד"</t>
  </si>
  <si>
    <t xml:space="preserve">הוצאות קבועות בחודש (מחושב מ"הוצאות")</t>
  </si>
  <si>
    <t xml:space="preserve">משלמים פעם אחת לכל הלקוחות ביחד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</si>
</sst>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mm/yyyy"/>
    <numFmt numFmtId="166" formatCode="0"/>
    <numFmt numFmtId="167" formatCode="\₪#,##0;[RED]&quot;-₪&quot;#,##0;\-"/>
    <numFmt numFmtId="168" formatCode="0%"/>
    <numFmt numFmtId="169" formatCode="General"/>
    <numFmt numFmtId="170" formatCode="0%;[RED]\-0%;\-"/>
    <numFmt numFmtId="171" formatCode="dd/mm/yyyy"/>
    <numFmt numFmtId="172" formatCode="0;\-0;\-"/>
    <numFmt numFmtId="173" formatCode="#,##0.00"/>
    <numFmt numFmtId="174" formatCode="\₪#,##0.00;[RED]&quot;-₪&quot;#,##0.00;\-"/>
    <numFmt numFmtId="175" formatCode="0.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DDE6F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2"/>
      <color rgb="FFC98A1B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2"/>
      <color rgb="FF1F3A5F"/>
      <name val="Arial"/>
      <family val="0"/>
      <charset val="1"/>
    </font>
    <font>
      <b val="true"/>
      <sz val="22"/>
      <color rgb="FF0F7B6C"/>
      <name val="Arial"/>
      <family val="0"/>
      <charset val="1"/>
    </font>
    <font>
      <b val="true"/>
      <sz val="22"/>
      <color rgb="FFC0392B"/>
      <name val="Arial"/>
      <family val="0"/>
      <charset val="1"/>
    </font>
    <font>
      <b val="true"/>
      <sz val="22"/>
      <color rgb="FF1E8449"/>
      <name val="Arial"/>
      <family val="0"/>
      <charset val="1"/>
    </font>
    <font>
      <b val="true"/>
      <sz val="22"/>
      <color rgb="FFC98A1B"/>
      <name val="Arial"/>
      <family val="0"/>
      <charset val="1"/>
    </font>
    <font>
      <b val="true"/>
      <sz val="15"/>
      <color rgb="FF1F3A5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2"/>
      <color rgb="FF0F7B6C"/>
      <name val="Arial"/>
      <family val="0"/>
      <charset val="1"/>
    </font>
    <font>
      <sz val="12"/>
      <color rgb="FFC98A1B"/>
      <name val="Arial"/>
      <family val="0"/>
      <charset val="1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FreeSans"/>
      <family val="2"/>
    </font>
    <font>
      <i val="true"/>
      <sz val="11"/>
      <color rgb="FF555555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0F7B6C"/>
        <bgColor rgb="FF1E8449"/>
      </patternFill>
    </fill>
    <fill>
      <patternFill patternType="solid">
        <fgColor rgb="FFC0392B"/>
        <bgColor rgb="FFAB4744"/>
      </patternFill>
    </fill>
    <fill>
      <patternFill patternType="solid">
        <fgColor rgb="FF1E8449"/>
        <bgColor rgb="FF0F7B6C"/>
      </patternFill>
    </fill>
    <fill>
      <patternFill patternType="solid">
        <fgColor rgb="FFFFFFFF"/>
        <bgColor rgb="FFF7F9FB"/>
      </patternFill>
    </fill>
    <fill>
      <patternFill patternType="solid">
        <fgColor rgb="FFC98A1B"/>
        <bgColor rgb="FFDC853E"/>
      </patternFill>
    </fill>
    <fill>
      <patternFill patternType="solid">
        <fgColor rgb="FFFFF7D6"/>
        <bgColor rgb="FFFCF1D9"/>
      </patternFill>
    </fill>
    <fill>
      <patternFill patternType="solid">
        <fgColor rgb="FFF7F9FB"/>
        <bgColor rgb="FFFFFFFF"/>
      </patternFill>
    </fill>
    <fill>
      <patternFill patternType="solid">
        <fgColor rgb="FFEEF3F8"/>
        <bgColor rgb="FFEEEEEE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1F3A5F"/>
      </left>
      <right style="thin">
        <color rgb="FF1F3A5F"/>
      </right>
      <top style="thin">
        <color rgb="FF1F3A5F"/>
      </top>
      <bottom style="thin">
        <color rgb="FF1F3A5F"/>
      </bottom>
      <diagonal/>
    </border>
    <border diagonalUp="false" diagonalDown="false">
      <left style="thin">
        <color rgb="FF0F7B6C"/>
      </left>
      <right style="thin">
        <color rgb="FF0F7B6C"/>
      </right>
      <top style="thin">
        <color rgb="FF0F7B6C"/>
      </top>
      <bottom style="thin">
        <color rgb="FF0F7B6C"/>
      </bottom>
      <diagonal/>
    </border>
    <border diagonalUp="false" diagonalDown="false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 diagonalUp="false" diagonalDown="false"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 diagonalUp="false" diagonalDown="false">
      <left style="thin">
        <color rgb="FFC98A1B"/>
      </left>
      <right style="thin">
        <color rgb="FFC98A1B"/>
      </right>
      <top style="thin">
        <color rgb="FFC98A1B"/>
      </top>
      <bottom style="thin">
        <color rgb="FFC98A1B"/>
      </bottom>
      <diagonal/>
    </border>
    <border diagonalUp="false" diagonalDown="false"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2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3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3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9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9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ont>
        <name val="Arial"/>
        <charset val="1"/>
        <family val="0"/>
        <b val="1"/>
        <color rgb="FF1E8449"/>
      </font>
      <fill>
        <patternFill>
          <bgColor rgb="FFDFF3E6"/>
        </patternFill>
      </fill>
    </dxf>
    <dxf>
      <font>
        <name val="Arial"/>
        <charset val="1"/>
        <family val="0"/>
        <b val="1"/>
        <color rgb="FFC0392B"/>
      </font>
      <fill>
        <patternFill>
          <bgColor rgb="FFFBE3E0"/>
        </patternFill>
      </fill>
    </dxf>
    <dxf>
      <font>
        <name val="Arial"/>
        <charset val="1"/>
        <family val="0"/>
        <b val="1"/>
        <color rgb="FF1E8449"/>
      </font>
    </dxf>
    <dxf>
      <font>
        <name val="Arial"/>
        <charset val="1"/>
        <family val="0"/>
        <b val="1"/>
        <color rgb="FFC98A1B"/>
      </font>
    </dxf>
    <dxf>
      <border diagonalUp="false" diagonalDown="false">
        <left/>
        <right/>
        <top style="medium">
          <color rgb="FFC98A1B"/>
        </top>
        <bottom style="medium">
          <color rgb="FFC98A1B"/>
        </bottom>
        <diagonal/>
      </border>
    </dxf>
    <dxf>
      <fill>
        <patternFill patternType="solid">
          <fgColor rgb="FF0F7B6C"/>
          <bgColor rgb="FF000000"/>
        </patternFill>
      </fill>
    </dxf>
    <dxf>
      <fill>
        <patternFill patternType="solid">
          <fgColor rgb="FFF7F9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CF1D9"/>
          <bgColor rgb="FF000000"/>
        </patternFill>
      </fill>
    </dxf>
    <dxf>
      <fill>
        <patternFill patternType="solid">
          <fgColor rgb="FFC98A1B"/>
          <bgColor rgb="FF000000"/>
        </patternFill>
      </fill>
    </dxf>
    <dxf>
      <fill>
        <patternFill patternType="solid">
          <fgColor rgb="FFFBE3E0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ont>
        <name val="Arial"/>
        <charset val="1"/>
        <family val="0"/>
        <b val="1"/>
        <color rgb="FFC98A1B"/>
      </font>
      <fill>
        <patternFill>
          <bgColor rgb="FFFCF1D9"/>
        </patternFill>
      </fill>
    </dxf>
    <dxf>
      <font>
        <name val="Arial"/>
        <charset val="1"/>
        <family val="0"/>
        <b val="1"/>
        <color rgb="FF1F3A5F"/>
      </font>
      <fill>
        <patternFill>
          <bgColor rgb="FFE3ECF7"/>
        </patternFill>
      </fill>
    </dxf>
    <dxf>
      <font>
        <name val="Arial"/>
        <charset val="1"/>
        <family val="0"/>
        <b val="1"/>
        <color rgb="FF888888"/>
      </font>
      <fill>
        <patternFill>
          <bgColor rgb="FFEEEEEE"/>
        </patternFill>
      </fill>
    </dxf>
    <dxf>
      <fill>
        <patternFill patternType="solid">
          <fgColor rgb="FFDFF3E6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ont>
        <name val="Arial"/>
        <charset val="1"/>
        <family val="0"/>
        <color rgb="FF888888"/>
      </font>
      <fill>
        <patternFill>
          <bgColor rgb="FFEEEE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EF3F8"/>
      <rgbColor rgb="FFFF00FF"/>
      <rgbColor rgb="FF00FFFF"/>
      <rgbColor rgb="FF800000"/>
      <rgbColor rgb="FF008000"/>
      <rgbColor rgb="FF000080"/>
      <rgbColor rgb="FF8AA64F"/>
      <rgbColor rgb="FF800080"/>
      <rgbColor rgb="FF0F7B6C"/>
      <rgbColor rgb="FFD9D9D9"/>
      <rgbColor rgb="FF878787"/>
      <rgbColor rgb="FF93A9CE"/>
      <rgbColor rgb="FFAB4744"/>
      <rgbColor rgb="FFFFF7D6"/>
      <rgbColor rgb="FFDFF3E6"/>
      <rgbColor rgb="FF660066"/>
      <rgbColor rgb="FFE59866"/>
      <rgbColor rgb="FF4F81BD"/>
      <rgbColor rgb="FFD5DCE4"/>
      <rgbColor rgb="FF000080"/>
      <rgbColor rgb="FFFF00FF"/>
      <rgbColor rgb="FFF7F9FB"/>
      <rgbColor rgb="FF00FFFF"/>
      <rgbColor rgb="FF800080"/>
      <rgbColor rgb="FF800000"/>
      <rgbColor rgb="FF4299B0"/>
      <rgbColor rgb="FF0000FF"/>
      <rgbColor rgb="FF00CCFF"/>
      <rgbColor rgb="FFE3ECF7"/>
      <rgbColor rgb="FFDDE6F0"/>
      <rgbColor rgb="FFFCF1D9"/>
      <rgbColor rgb="FFEEEEEE"/>
      <rgbColor rgb="FFFBE3E0"/>
      <rgbColor rgb="FF7F8C8D"/>
      <rgbColor rgb="FFF5CBA7"/>
      <rgbColor rgb="FF4672A8"/>
      <rgbColor rgb="FF58D68D"/>
      <rgbColor rgb="FF99CC00"/>
      <rgbColor rgb="FFFFCC00"/>
      <rgbColor rgb="FFDC853E"/>
      <rgbColor rgb="FFC98A1B"/>
      <rgbColor rgb="FF725990"/>
      <rgbColor rgb="FF888888"/>
      <rgbColor rgb="FF1F3A5F"/>
      <rgbColor rgb="FF1E8449"/>
      <rgbColor rgb="FF003300"/>
      <rgbColor rgb="FF333300"/>
      <rgbColor rgb="FFC0392B"/>
      <rgbColor rgb="FF777777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רווח מצטבר: כמה הרווחנו עד עכשיו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חודשים!M4</c:f>
              <c:strCache>
                <c:ptCount val="1"/>
                <c:pt idx="0">
                  <c:v>רווח מצטבר</c:v>
                </c:pt>
              </c:strCache>
            </c:strRef>
          </c:tx>
          <c:spPr>
            <a:solidFill>
              <a:srgbClr val="1e8449"/>
            </a:solidFill>
            <a:ln w="38160">
              <a:solidFill>
                <a:srgbClr val="1e844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חודשים!$A$5:$A$19</c:f>
              <c:strCache>
                <c:ptCount val="15"/>
                <c:pt idx="0">
                  <c:v>10/2026</c:v>
                </c:pt>
                <c:pt idx="1">
                  <c:v>11/2026</c:v>
                </c:pt>
                <c:pt idx="2">
                  <c:v>12/2026</c:v>
                </c:pt>
                <c:pt idx="3">
                  <c:v>01/2027</c:v>
                </c:pt>
                <c:pt idx="4">
                  <c:v>02/2027</c:v>
                </c:pt>
                <c:pt idx="5">
                  <c:v>03/2027</c:v>
                </c:pt>
                <c:pt idx="6">
                  <c:v>04/2027</c:v>
                </c:pt>
                <c:pt idx="7">
                  <c:v>05/2027</c:v>
                </c:pt>
                <c:pt idx="8">
                  <c:v>06/2027</c:v>
                </c:pt>
                <c:pt idx="9">
                  <c:v>07/2027</c:v>
                </c:pt>
                <c:pt idx="10">
                  <c:v>08/2027</c:v>
                </c:pt>
                <c:pt idx="11">
                  <c:v>09/2027</c:v>
                </c:pt>
                <c:pt idx="12">
                  <c:v>10/2027</c:v>
                </c:pt>
                <c:pt idx="13">
                  <c:v>11/2027</c:v>
                </c:pt>
                <c:pt idx="14">
                  <c:v>12/2027</c:v>
                </c:pt>
              </c:strCache>
            </c:strRef>
          </c:cat>
          <c:val>
            <c:numRef>
              <c:f>חודשים!$M$5:$M$19</c:f>
              <c:numCache>
                <c:formatCode>\₪#,##0;[RED]"-₪"#,##0;\-</c:formatCode>
                <c:ptCount val="15"/>
                <c:pt idx="0">
                  <c:v>800.2</c:v>
                </c:pt>
                <c:pt idx="1">
                  <c:v>890.7</c:v>
                </c:pt>
                <c:pt idx="2">
                  <c:v>981.2</c:v>
                </c:pt>
                <c:pt idx="3">
                  <c:v>1071.7</c:v>
                </c:pt>
                <c:pt idx="4">
                  <c:v>1162.2</c:v>
                </c:pt>
                <c:pt idx="5">
                  <c:v>1252.7</c:v>
                </c:pt>
                <c:pt idx="6">
                  <c:v>1343.2</c:v>
                </c:pt>
                <c:pt idx="7">
                  <c:v>1433.7</c:v>
                </c:pt>
                <c:pt idx="8">
                  <c:v>1524.2</c:v>
                </c:pt>
                <c:pt idx="9">
                  <c:v>1614.7</c:v>
                </c:pt>
                <c:pt idx="10">
                  <c:v>1705.2</c:v>
                </c:pt>
                <c:pt idx="11">
                  <c:v>1795.7</c:v>
                </c:pt>
                <c:pt idx="12">
                  <c:v>1886.2</c:v>
                </c:pt>
                <c:pt idx="13">
                  <c:v>1976.7</c:v>
                </c:pt>
                <c:pt idx="14">
                  <c:v>2067.2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577116"/>
        <c:axId val="1023949"/>
      </c:lineChart>
      <c:catAx>
        <c:axId val="94577116"/>
        <c:scaling>
          <c:orientation val="minMax"/>
        </c:scaling>
        <c:delete val="0"/>
        <c:axPos val="b"/>
        <c:numFmt formatCode="mm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3949"/>
        <c:crosses val="autoZero"/>
        <c:auto val="1"/>
        <c:lblAlgn val="ctr"/>
        <c:lblOffset val="100"/>
        <c:noMultiLvlLbl val="0"/>
      </c:catAx>
      <c:valAx>
        <c:axId val="1023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₪#,##0;[RED]&quot;-₪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771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🎯 לקוחות: בפועל מול היעד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חודשים!B4</c:f>
              <c:strCache>
                <c:ptCount val="1"/>
                <c:pt idx="0">
                  <c:v>לקוחות פעילים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חודשים!$A$5:$A$19</c:f>
              <c:strCache>
                <c:ptCount val="15"/>
                <c:pt idx="0">
                  <c:v>10/2026</c:v>
                </c:pt>
                <c:pt idx="1">
                  <c:v>11/2026</c:v>
                </c:pt>
                <c:pt idx="2">
                  <c:v>12/2026</c:v>
                </c:pt>
                <c:pt idx="3">
                  <c:v>01/2027</c:v>
                </c:pt>
                <c:pt idx="4">
                  <c:v>02/2027</c:v>
                </c:pt>
                <c:pt idx="5">
                  <c:v>03/2027</c:v>
                </c:pt>
                <c:pt idx="6">
                  <c:v>04/2027</c:v>
                </c:pt>
                <c:pt idx="7">
                  <c:v>05/2027</c:v>
                </c:pt>
                <c:pt idx="8">
                  <c:v>06/2027</c:v>
                </c:pt>
                <c:pt idx="9">
                  <c:v>07/2027</c:v>
                </c:pt>
                <c:pt idx="10">
                  <c:v>08/2027</c:v>
                </c:pt>
                <c:pt idx="11">
                  <c:v>09/2027</c:v>
                </c:pt>
                <c:pt idx="12">
                  <c:v>10/2027</c:v>
                </c:pt>
                <c:pt idx="13">
                  <c:v>11/2027</c:v>
                </c:pt>
                <c:pt idx="14">
                  <c:v>12/2027</c:v>
                </c:pt>
              </c:strCache>
            </c:strRef>
          </c:cat>
          <c:val>
            <c:numRef>
              <c:f>חודשים!$B$5:$B$19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ser>
          <c:idx val="1"/>
          <c:order val="1"/>
          <c:tx>
            <c:strRef>
              <c:f>חודשים!D4</c:f>
              <c:strCache>
                <c:ptCount val="1"/>
                <c:pt idx="0">
                  <c:v>🎯 יעד לקוחות</c:v>
                </c:pt>
              </c:strCache>
            </c:strRef>
          </c:tx>
          <c:spPr>
            <a:solidFill>
              <a:srgbClr val="f5cba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חודשים!$A$5:$A$19</c:f>
              <c:strCache>
                <c:ptCount val="15"/>
                <c:pt idx="0">
                  <c:v>10/2026</c:v>
                </c:pt>
                <c:pt idx="1">
                  <c:v>11/2026</c:v>
                </c:pt>
                <c:pt idx="2">
                  <c:v>12/2026</c:v>
                </c:pt>
                <c:pt idx="3">
                  <c:v>01/2027</c:v>
                </c:pt>
                <c:pt idx="4">
                  <c:v>02/2027</c:v>
                </c:pt>
                <c:pt idx="5">
                  <c:v>03/2027</c:v>
                </c:pt>
                <c:pt idx="6">
                  <c:v>04/2027</c:v>
                </c:pt>
                <c:pt idx="7">
                  <c:v>05/2027</c:v>
                </c:pt>
                <c:pt idx="8">
                  <c:v>06/2027</c:v>
                </c:pt>
                <c:pt idx="9">
                  <c:v>07/2027</c:v>
                </c:pt>
                <c:pt idx="10">
                  <c:v>08/2027</c:v>
                </c:pt>
                <c:pt idx="11">
                  <c:v>09/2027</c:v>
                </c:pt>
                <c:pt idx="12">
                  <c:v>10/2027</c:v>
                </c:pt>
                <c:pt idx="13">
                  <c:v>11/2027</c:v>
                </c:pt>
                <c:pt idx="14">
                  <c:v>12/2027</c:v>
                </c:pt>
              </c:strCache>
            </c:strRef>
          </c:cat>
          <c:val>
            <c:numRef>
              <c:f>חודשים!$D$5:$D$19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10</c:v>
                </c:pt>
              </c:numCache>
            </c:numRef>
          </c:val>
        </c:ser>
        <c:gapWidth val="150"/>
        <c:overlap val="0"/>
        <c:axId val="99429160"/>
        <c:axId val="5642027"/>
      </c:barChart>
      <c:catAx>
        <c:axId val="99429160"/>
        <c:scaling>
          <c:orientation val="minMax"/>
        </c:scaling>
        <c:delete val="0"/>
        <c:axPos val="b"/>
        <c:numFmt formatCode="mm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2027"/>
        <c:crosses val="autoZero"/>
        <c:auto val="1"/>
        <c:lblAlgn val="ctr"/>
        <c:lblOffset val="100"/>
        <c:noMultiLvlLbl val="0"/>
      </c:catAx>
      <c:valAx>
        <c:axId val="56420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291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הולך הכסף בחודש (עם לקוח אחד)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הוצאות!B35</c:f>
              <c:strCache>
                <c:ptCount val="1"/>
                <c:pt idx="0">
                  <c:v>לחודש (₪)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הוצאות!$A$36:$A$42</c:f>
              <c:strCache>
                <c:ptCount val="7"/>
                <c:pt idx="0">
                  <c:v>שרת</c:v>
                </c:pt>
                <c:pt idx="1">
                  <c:v>AI</c:v>
                </c:pt>
                <c:pt idx="2">
                  <c:v>וואטסאפ</c:v>
                </c:pt>
                <c:pt idx="3">
                  <c:v>כלים</c:v>
                </c:pt>
                <c:pt idx="4">
                  <c:v>שיווק</c:v>
                </c:pt>
                <c:pt idx="5">
                  <c:v>הנהלת חשבונות</c:v>
                </c:pt>
                <c:pt idx="6">
                  <c:v>אחר</c:v>
                </c:pt>
              </c:strCache>
            </c:strRef>
          </c:cat>
          <c:val>
            <c:numRef>
              <c:f>הוצאות!$B$36:$B$42</c:f>
              <c:numCache>
                <c:formatCode>\₪#,##0.00;[RED]"-₪"#,##0.00;\-</c:formatCode>
                <c:ptCount val="7"/>
                <c:pt idx="0">
                  <c:v>18.5</c:v>
                </c:pt>
                <c:pt idx="1">
                  <c:v>40.7</c:v>
                </c:pt>
                <c:pt idx="2">
                  <c:v>350.3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🚀 רווח בחודש לפי מספר לקוחות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'לפי מספר לקוחות'!E4</c:f>
              <c:strCache>
                <c:ptCount val="1"/>
                <c:pt idx="0">
                  <c:v>נשאר בחודש</c:v>
                </c:pt>
              </c:strCache>
            </c:strRef>
          </c:tx>
          <c:spPr>
            <a:solidFill>
              <a:srgbClr val="58d68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'לפי מספר לקוחות'!$A$5:$A$14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'לפי מספר לקוחות'!$E$5:$E$14</c:f>
              <c:numCache>
                <c:formatCode>\₪#,##0;[RED]"-₪"#,##0;\-</c:formatCode>
                <c:ptCount val="10"/>
                <c:pt idx="0">
                  <c:v>90.5</c:v>
                </c:pt>
                <c:pt idx="1">
                  <c:v>433.8</c:v>
                </c:pt>
                <c:pt idx="2">
                  <c:v>777.1</c:v>
                </c:pt>
                <c:pt idx="3">
                  <c:v>1120.4</c:v>
                </c:pt>
                <c:pt idx="4">
                  <c:v>1463.7</c:v>
                </c:pt>
                <c:pt idx="5">
                  <c:v>1807</c:v>
                </c:pt>
                <c:pt idx="6">
                  <c:v>2150.3</c:v>
                </c:pt>
                <c:pt idx="7">
                  <c:v>2493.6</c:v>
                </c:pt>
                <c:pt idx="8">
                  <c:v>2836.9</c:v>
                </c:pt>
                <c:pt idx="9">
                  <c:v>3180.2</c:v>
                </c:pt>
              </c:numCache>
            </c:numRef>
          </c:val>
        </c:ser>
        <c:gapWidth val="150"/>
        <c:overlap val="0"/>
        <c:axId val="16253258"/>
        <c:axId val="6247500"/>
      </c:barChart>
      <c:catAx>
        <c:axId val="162532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7500"/>
        <c:crosses val="autoZero"/>
        <c:auto val="1"/>
        <c:lblAlgn val="ctr"/>
        <c:lblOffset val="100"/>
        <c:noMultiLvlLbl val="0"/>
      </c:catAx>
      <c:valAx>
        <c:axId val="62475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₪#,##0;[RED]&quot;-₪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532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הכנסות, הוצאות ורווח בכל 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חודשים!G4</c:f>
              <c:strCache>
                <c:ptCount val="1"/>
                <c:pt idx="0">
                  <c:v>סה"כ הכנסות</c:v>
                </c:pt>
              </c:strCache>
            </c:strRef>
          </c:tx>
          <c:spPr>
            <a:solidFill>
              <a:srgbClr val="0f7b6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חודשים!$A$5:$A$19</c:f>
              <c:strCache>
                <c:ptCount val="15"/>
                <c:pt idx="0">
                  <c:v>10/2026</c:v>
                </c:pt>
                <c:pt idx="1">
                  <c:v>11/2026</c:v>
                </c:pt>
                <c:pt idx="2">
                  <c:v>12/2026</c:v>
                </c:pt>
                <c:pt idx="3">
                  <c:v>01/2027</c:v>
                </c:pt>
                <c:pt idx="4">
                  <c:v>02/2027</c:v>
                </c:pt>
                <c:pt idx="5">
                  <c:v>03/2027</c:v>
                </c:pt>
                <c:pt idx="6">
                  <c:v>04/2027</c:v>
                </c:pt>
                <c:pt idx="7">
                  <c:v>05/2027</c:v>
                </c:pt>
                <c:pt idx="8">
                  <c:v>06/2027</c:v>
                </c:pt>
                <c:pt idx="9">
                  <c:v>07/2027</c:v>
                </c:pt>
                <c:pt idx="10">
                  <c:v>08/2027</c:v>
                </c:pt>
                <c:pt idx="11">
                  <c:v>09/2027</c:v>
                </c:pt>
                <c:pt idx="12">
                  <c:v>10/2027</c:v>
                </c:pt>
                <c:pt idx="13">
                  <c:v>11/2027</c:v>
                </c:pt>
                <c:pt idx="14">
                  <c:v>12/2027</c:v>
                </c:pt>
              </c:strCache>
            </c:strRef>
          </c:cat>
          <c:val>
            <c:numRef>
              <c:f>חודשים!$G$5:$G$19</c:f>
              <c:numCache>
                <c:formatCode>\₪#,##0;[RED]"-₪"#,##0;\-</c:formatCode>
                <c:ptCount val="15"/>
                <c:pt idx="0">
                  <c:v>1000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</c:numCache>
            </c:numRef>
          </c:val>
        </c:ser>
        <c:ser>
          <c:idx val="1"/>
          <c:order val="1"/>
          <c:tx>
            <c:strRef>
              <c:f>חודשים!K4</c:f>
              <c:strCache>
                <c:ptCount val="1"/>
                <c:pt idx="0">
                  <c:v>סה"כ הוצאות</c:v>
                </c:pt>
              </c:strCache>
            </c:strRef>
          </c:tx>
          <c:spPr>
            <a:solidFill>
              <a:srgbClr val="e5986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חודשים!$A$5:$A$19</c:f>
              <c:strCache>
                <c:ptCount val="15"/>
                <c:pt idx="0">
                  <c:v>10/2026</c:v>
                </c:pt>
                <c:pt idx="1">
                  <c:v>11/2026</c:v>
                </c:pt>
                <c:pt idx="2">
                  <c:v>12/2026</c:v>
                </c:pt>
                <c:pt idx="3">
                  <c:v>01/2027</c:v>
                </c:pt>
                <c:pt idx="4">
                  <c:v>02/2027</c:v>
                </c:pt>
                <c:pt idx="5">
                  <c:v>03/2027</c:v>
                </c:pt>
                <c:pt idx="6">
                  <c:v>04/2027</c:v>
                </c:pt>
                <c:pt idx="7">
                  <c:v>05/2027</c:v>
                </c:pt>
                <c:pt idx="8">
                  <c:v>06/2027</c:v>
                </c:pt>
                <c:pt idx="9">
                  <c:v>07/2027</c:v>
                </c:pt>
                <c:pt idx="10">
                  <c:v>08/2027</c:v>
                </c:pt>
                <c:pt idx="11">
                  <c:v>09/2027</c:v>
                </c:pt>
                <c:pt idx="12">
                  <c:v>10/2027</c:v>
                </c:pt>
                <c:pt idx="13">
                  <c:v>11/2027</c:v>
                </c:pt>
                <c:pt idx="14">
                  <c:v>12/2027</c:v>
                </c:pt>
              </c:strCache>
            </c:strRef>
          </c:cat>
          <c:val>
            <c:numRef>
              <c:f>חודשים!$K$5:$K$19</c:f>
              <c:numCache>
                <c:formatCode>\₪#,##0;[RED]"-₪"#,##0;\-</c:formatCode>
                <c:ptCount val="15"/>
                <c:pt idx="0">
                  <c:v>199.8</c:v>
                </c:pt>
                <c:pt idx="1">
                  <c:v>409.5</c:v>
                </c:pt>
                <c:pt idx="2">
                  <c:v>409.5</c:v>
                </c:pt>
                <c:pt idx="3">
                  <c:v>409.5</c:v>
                </c:pt>
                <c:pt idx="4">
                  <c:v>409.5</c:v>
                </c:pt>
                <c:pt idx="5">
                  <c:v>409.5</c:v>
                </c:pt>
                <c:pt idx="6">
                  <c:v>409.5</c:v>
                </c:pt>
                <c:pt idx="7">
                  <c:v>409.5</c:v>
                </c:pt>
                <c:pt idx="8">
                  <c:v>409.5</c:v>
                </c:pt>
                <c:pt idx="9">
                  <c:v>409.5</c:v>
                </c:pt>
                <c:pt idx="10">
                  <c:v>409.5</c:v>
                </c:pt>
                <c:pt idx="11">
                  <c:v>409.5</c:v>
                </c:pt>
                <c:pt idx="12">
                  <c:v>409.5</c:v>
                </c:pt>
                <c:pt idx="13">
                  <c:v>409.5</c:v>
                </c:pt>
                <c:pt idx="14">
                  <c:v>409.5</c:v>
                </c:pt>
              </c:numCache>
            </c:numRef>
          </c:val>
        </c:ser>
        <c:ser>
          <c:idx val="2"/>
          <c:order val="2"/>
          <c:tx>
            <c:strRef>
              <c:f>חודשים!L4</c:f>
              <c:strCache>
                <c:ptCount val="1"/>
                <c:pt idx="0">
                  <c:v>רווח החודש</c:v>
                </c:pt>
              </c:strCache>
            </c:strRef>
          </c:tx>
          <c:spPr>
            <a:solidFill>
              <a:srgbClr val="1e844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חודשים!$A$5:$A$19</c:f>
              <c:strCache>
                <c:ptCount val="15"/>
                <c:pt idx="0">
                  <c:v>10/2026</c:v>
                </c:pt>
                <c:pt idx="1">
                  <c:v>11/2026</c:v>
                </c:pt>
                <c:pt idx="2">
                  <c:v>12/2026</c:v>
                </c:pt>
                <c:pt idx="3">
                  <c:v>01/2027</c:v>
                </c:pt>
                <c:pt idx="4">
                  <c:v>02/2027</c:v>
                </c:pt>
                <c:pt idx="5">
                  <c:v>03/2027</c:v>
                </c:pt>
                <c:pt idx="6">
                  <c:v>04/2027</c:v>
                </c:pt>
                <c:pt idx="7">
                  <c:v>05/2027</c:v>
                </c:pt>
                <c:pt idx="8">
                  <c:v>06/2027</c:v>
                </c:pt>
                <c:pt idx="9">
                  <c:v>07/2027</c:v>
                </c:pt>
                <c:pt idx="10">
                  <c:v>08/2027</c:v>
                </c:pt>
                <c:pt idx="11">
                  <c:v>09/2027</c:v>
                </c:pt>
                <c:pt idx="12">
                  <c:v>10/2027</c:v>
                </c:pt>
                <c:pt idx="13">
                  <c:v>11/2027</c:v>
                </c:pt>
                <c:pt idx="14">
                  <c:v>12/2027</c:v>
                </c:pt>
              </c:strCache>
            </c:strRef>
          </c:cat>
          <c:val>
            <c:numRef>
              <c:f>חודשים!$L$5:$L$19</c:f>
              <c:numCache>
                <c:formatCode>\₪#,##0;[RED]"-₪"#,##0;\-</c:formatCode>
                <c:ptCount val="15"/>
                <c:pt idx="0">
                  <c:v>800.2</c:v>
                </c:pt>
                <c:pt idx="1">
                  <c:v>90.5</c:v>
                </c:pt>
                <c:pt idx="2">
                  <c:v>90.5</c:v>
                </c:pt>
                <c:pt idx="3">
                  <c:v>90.5</c:v>
                </c:pt>
                <c:pt idx="4">
                  <c:v>90.5</c:v>
                </c:pt>
                <c:pt idx="5">
                  <c:v>90.5</c:v>
                </c:pt>
                <c:pt idx="6">
                  <c:v>90.5</c:v>
                </c:pt>
                <c:pt idx="7">
                  <c:v>90.5</c:v>
                </c:pt>
                <c:pt idx="8">
                  <c:v>90.5</c:v>
                </c:pt>
                <c:pt idx="9">
                  <c:v>90.5</c:v>
                </c:pt>
                <c:pt idx="10">
                  <c:v>90.5</c:v>
                </c:pt>
                <c:pt idx="11">
                  <c:v>90.5</c:v>
                </c:pt>
                <c:pt idx="12">
                  <c:v>90.5</c:v>
                </c:pt>
                <c:pt idx="13">
                  <c:v>90.5</c:v>
                </c:pt>
                <c:pt idx="14">
                  <c:v>90.5</c:v>
                </c:pt>
              </c:numCache>
            </c:numRef>
          </c:val>
        </c:ser>
        <c:gapWidth val="150"/>
        <c:overlap val="0"/>
        <c:axId val="4610315"/>
        <c:axId val="14320984"/>
      </c:barChart>
      <c:catAx>
        <c:axId val="4610315"/>
        <c:scaling>
          <c:orientation val="minMax"/>
        </c:scaling>
        <c:delete val="0"/>
        <c:axPos val="b"/>
        <c:numFmt formatCode="mm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20984"/>
        <c:crosses val="autoZero"/>
        <c:auto val="1"/>
        <c:lblAlgn val="ctr"/>
        <c:lblOffset val="100"/>
        <c:noMultiLvlLbl val="0"/>
      </c:catAx>
      <c:valAx>
        <c:axId val="143209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₪#,##0;[RED]&quot;-₪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03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37</xdr:row>
      <xdr:rowOff>100440</xdr:rowOff>
    </xdr:from>
    <xdr:to>
      <xdr:col>6</xdr:col>
      <xdr:colOff>0</xdr:colOff>
      <xdr:row>52</xdr:row>
      <xdr:rowOff>122760</xdr:rowOff>
    </xdr:to>
    <xdr:graphicFrame>
      <xdr:nvGraphicFramePr>
        <xdr:cNvPr id="0" name="Chart 1"/>
        <xdr:cNvGraphicFramePr/>
      </xdr:nvGraphicFramePr>
      <xdr:xfrm>
        <a:off x="-4820760" y="86774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37</xdr:row>
      <xdr:rowOff>100440</xdr:rowOff>
    </xdr:from>
    <xdr:to>
      <xdr:col>12</xdr:col>
      <xdr:colOff>0</xdr:colOff>
      <xdr:row>52</xdr:row>
      <xdr:rowOff>122760</xdr:rowOff>
    </xdr:to>
    <xdr:graphicFrame>
      <xdr:nvGraphicFramePr>
        <xdr:cNvPr id="1" name="Chart 2"/>
        <xdr:cNvGraphicFramePr/>
      </xdr:nvGraphicFramePr>
      <xdr:xfrm>
        <a:off x="-9613440" y="86774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54</xdr:row>
      <xdr:rowOff>100080</xdr:rowOff>
    </xdr:from>
    <xdr:to>
      <xdr:col>6</xdr:col>
      <xdr:colOff>0</xdr:colOff>
      <xdr:row>69</xdr:row>
      <xdr:rowOff>122400</xdr:rowOff>
    </xdr:to>
    <xdr:graphicFrame>
      <xdr:nvGraphicFramePr>
        <xdr:cNvPr id="2" name="Chart 3"/>
        <xdr:cNvGraphicFramePr/>
      </xdr:nvGraphicFramePr>
      <xdr:xfrm>
        <a:off x="-4820760" y="119156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54</xdr:row>
      <xdr:rowOff>100080</xdr:rowOff>
    </xdr:from>
    <xdr:to>
      <xdr:col>12</xdr:col>
      <xdr:colOff>0</xdr:colOff>
      <xdr:row>69</xdr:row>
      <xdr:rowOff>122400</xdr:rowOff>
    </xdr:to>
    <xdr:graphicFrame>
      <xdr:nvGraphicFramePr>
        <xdr:cNvPr id="3" name="Chart 4"/>
        <xdr:cNvGraphicFramePr/>
      </xdr:nvGraphicFramePr>
      <xdr:xfrm>
        <a:off x="-9613440" y="119156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19</xdr:row>
      <xdr:rowOff>100440</xdr:rowOff>
    </xdr:from>
    <xdr:to>
      <xdr:col>11</xdr:col>
      <xdr:colOff>0</xdr:colOff>
      <xdr:row>36</xdr:row>
      <xdr:rowOff>101520</xdr:rowOff>
    </xdr:to>
    <xdr:graphicFrame>
      <xdr:nvGraphicFramePr>
        <xdr:cNvPr id="4" name="Chart 5"/>
        <xdr:cNvGraphicFramePr/>
      </xdr:nvGraphicFramePr>
      <xdr:xfrm>
        <a:off x="-8420760" y="5248440"/>
        <a:ext cx="82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L19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6"/>
    <col collapsed="false" customWidth="true" hidden="false" outlineLevel="0" max="4" min="4" style="0" width="2"/>
    <col collapsed="false" customWidth="true" hidden="false" outlineLevel="0" max="6" min="5" style="0" width="16"/>
    <col collapsed="false" customWidth="true" hidden="false" outlineLevel="0" max="7" min="7" style="0" width="2"/>
    <col collapsed="false" customWidth="true" hidden="false" outlineLevel="0" max="9" min="8" style="0" width="16"/>
    <col collapsed="false" customWidth="true" hidden="false" outlineLevel="0" max="10" min="10" style="0" width="2"/>
    <col collapsed="false" customWidth="true" hidden="false" outlineLevel="0" max="12" min="11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B4" s="3" t="s">
        <v>2</v>
      </c>
      <c r="C4" s="4" t="n">
        <f aca="false">הגדרות!$B$12</f>
        <v>46296</v>
      </c>
      <c r="E4" s="5" t="s">
        <v>3</v>
      </c>
    </row>
    <row r="6" customFormat="false" ht="21.75" hidden="false" customHeight="true" outlineLevel="0" collapsed="false">
      <c r="B6" s="6" t="s">
        <v>4</v>
      </c>
      <c r="C6" s="6"/>
      <c r="E6" s="7" t="s">
        <v>5</v>
      </c>
      <c r="F6" s="7"/>
      <c r="H6" s="8" t="s">
        <v>6</v>
      </c>
      <c r="I6" s="8"/>
      <c r="K6" s="9" t="s">
        <v>7</v>
      </c>
      <c r="L6" s="9"/>
    </row>
    <row r="7" customFormat="false" ht="39.75" hidden="false" customHeight="true" outlineLevel="0" collapsed="false">
      <c r="B7" s="10" t="n">
        <f aca="false">IFERROR(INDEX(חודשים!$B$5:$B$19,MATCH(הגדרות!$B$12,חודשים!$A$5:$A$19,0)),0)</f>
        <v>0</v>
      </c>
      <c r="C7" s="10"/>
      <c r="E7" s="11" t="n">
        <f aca="false">IFERROR(INDEX(חודשים!$G$5:$G$19,MATCH(הגדרות!$B$12,חודשים!$A$5:$A$19,0)),0)</f>
        <v>1000</v>
      </c>
      <c r="F7" s="11"/>
      <c r="H7" s="12" t="n">
        <f aca="false">IFERROR(INDEX(חודשים!$K$5:$K$19,MATCH(הגדרות!$B$12,חודשים!$A$5:$A$19,0)),0)</f>
        <v>199.8</v>
      </c>
      <c r="I7" s="12"/>
      <c r="K7" s="13" t="n">
        <f aca="false">IFERROR(INDEX(חודשים!$L$5:$L$19,MATCH(הגדרות!$B$12,חודשים!$A$5:$A$19,0)),0)</f>
        <v>800.2</v>
      </c>
      <c r="L7" s="13"/>
    </row>
    <row r="9" customFormat="false" ht="21.75" hidden="false" customHeight="true" outlineLevel="0" collapsed="false">
      <c r="B9" s="9" t="s">
        <v>8</v>
      </c>
      <c r="C9" s="9"/>
      <c r="E9" s="14" t="s">
        <v>9</v>
      </c>
      <c r="F9" s="14"/>
      <c r="H9" s="7" t="s">
        <v>10</v>
      </c>
      <c r="I9" s="7"/>
      <c r="K9" s="6" t="s">
        <v>11</v>
      </c>
      <c r="L9" s="6"/>
    </row>
    <row r="10" customFormat="false" ht="39.75" hidden="false" customHeight="true" outlineLevel="0" collapsed="false">
      <c r="B10" s="13" t="n">
        <f aca="false">IFERROR(INDEX(חודשים!$M$5:$M$19,MATCH(הגדרות!$B$12,חודשים!$A$5:$A$19,0)),0)</f>
        <v>800.2</v>
      </c>
      <c r="C10" s="13"/>
      <c r="E10" s="15" t="n">
        <f aca="false">SUM(לקוחות!$P$5:$P$40)</f>
        <v>1500</v>
      </c>
      <c r="F10" s="15"/>
      <c r="H10" s="11" t="n">
        <f aca="false">IFERROR(INDEX(חודשים!$O$5:$O$19,MATCH(הגדרות!$B$12,חודשים!$A$5:$A$19,0)),0)</f>
        <v>1000</v>
      </c>
      <c r="I10" s="11"/>
      <c r="K10" s="16" t="n">
        <f aca="false">הגדרות!$B$14</f>
        <v>246.7</v>
      </c>
      <c r="L10" s="16"/>
    </row>
    <row r="12" customFormat="false" ht="18.55" hidden="false" customHeight="false" outlineLevel="0" collapsed="false">
      <c r="B12" s="17" t="s">
        <v>12</v>
      </c>
    </row>
    <row r="13" customFormat="false" ht="15" hidden="false" customHeight="false" outlineLevel="0" collapsed="false">
      <c r="B13" s="18" t="s">
        <v>13</v>
      </c>
      <c r="C13" s="18"/>
      <c r="D13" s="19"/>
      <c r="E13" s="19" t="s">
        <v>14</v>
      </c>
      <c r="F13" s="19" t="s">
        <v>15</v>
      </c>
      <c r="G13" s="19"/>
      <c r="H13" s="18" t="s">
        <v>16</v>
      </c>
      <c r="I13" s="18"/>
      <c r="J13" s="18"/>
      <c r="K13" s="18"/>
      <c r="L13" s="19" t="s">
        <v>17</v>
      </c>
    </row>
    <row r="14" customFormat="false" ht="24" hidden="false" customHeight="true" outlineLevel="0" collapsed="false">
      <c r="B14" s="20" t="s">
        <v>18</v>
      </c>
      <c r="C14" s="20"/>
      <c r="D14" s="21"/>
      <c r="E14" s="22" t="n">
        <f aca="false">IFERROR(INDEX(חודשים!$B$5:$B$19,MATCH(הגדרות!$B$12,חודשים!$A$5:$A$19,0)),0)</f>
        <v>0</v>
      </c>
      <c r="F14" s="22" t="n">
        <f aca="false">IFERROR(INDEX(חודשים!$D$5:$D$19,MATCH(הגדרות!$B$12,חודשים!$A$5:$A$19,0)),0)</f>
        <v>1</v>
      </c>
      <c r="G14" s="21"/>
      <c r="H14" s="23" t="str">
        <f aca="false">REPT("█",ROUND(MIN(1,L14)*20,0))&amp;REPT("░",20-ROUND(MIN(1,L14)*20,0))</f>
        <v>░░░░░░░░░░░░░░░░░░░░</v>
      </c>
      <c r="I14" s="23"/>
      <c r="J14" s="23"/>
      <c r="K14" s="23"/>
      <c r="L14" s="24" t="n">
        <f aca="false">IF(F14=0,0,MAX(0,E14)/F14)</f>
        <v>0</v>
      </c>
    </row>
    <row r="15" customFormat="false" ht="24" hidden="false" customHeight="true" outlineLevel="0" collapsed="false">
      <c r="B15" s="20" t="s">
        <v>19</v>
      </c>
      <c r="C15" s="20"/>
      <c r="D15" s="21"/>
      <c r="E15" s="25" t="n">
        <f aca="false">IFERROR(INDEX(חודשים!$L$5:$L$19,MATCH(הגדרות!$B$12,חודשים!$A$5:$A$19,0)),0)</f>
        <v>800.2</v>
      </c>
      <c r="F15" s="25" t="n">
        <f aca="false">הגדרות!$B$11</f>
        <v>3000</v>
      </c>
      <c r="G15" s="21"/>
      <c r="H15" s="23" t="str">
        <f aca="false">REPT("█",ROUND(MIN(1,L15)*20,0))&amp;REPT("░",20-ROUND(MIN(1,L15)*20,0))</f>
        <v>█████░░░░░░░░░░░░░░░</v>
      </c>
      <c r="I15" s="23"/>
      <c r="J15" s="23"/>
      <c r="K15" s="23"/>
      <c r="L15" s="24" t="n">
        <f aca="false">IF(F15=0,0,MAX(0,E15)/F15)</f>
        <v>0.266733333333333</v>
      </c>
    </row>
    <row r="16" customFormat="false" ht="24" hidden="false" customHeight="true" outlineLevel="0" collapsed="false">
      <c r="B16" s="20" t="s">
        <v>20</v>
      </c>
      <c r="C16" s="20"/>
      <c r="D16" s="21"/>
      <c r="E16" s="25" t="n">
        <f aca="false">IFERROR(INDEX(חודשים!$O$5:$O$19,MATCH(הגדרות!$B$12,חודשים!$A$5:$A$19,0)),0)</f>
        <v>1000</v>
      </c>
      <c r="F16" s="25" t="n">
        <f aca="false">הגדרות!$B$10</f>
        <v>120000</v>
      </c>
      <c r="G16" s="21"/>
      <c r="H16" s="26" t="str">
        <f aca="false">REPT("█",ROUND(MIN(1,L16)*20,0))&amp;REPT("░",20-ROUND(MIN(1,L16)*20,0))</f>
        <v>░░░░░░░░░░░░░░░░░░░░</v>
      </c>
      <c r="I16" s="26"/>
      <c r="J16" s="26"/>
      <c r="K16" s="26"/>
      <c r="L16" s="24" t="n">
        <f aca="false">IF(F16=0,0,MAX(0,E16)/F16)</f>
        <v>0.00833333333333333</v>
      </c>
    </row>
    <row r="17" customFormat="false" ht="15" hidden="false" customHeight="false" outlineLevel="0" collapsed="false">
      <c r="B17" s="5" t="s">
        <v>21</v>
      </c>
    </row>
    <row r="19" customFormat="false" ht="18.55" hidden="false" customHeight="false" outlineLevel="0" collapsed="false">
      <c r="B19" s="17" t="s">
        <v>22</v>
      </c>
    </row>
  </sheetData>
  <mergeCells count="26">
    <mergeCell ref="A1:L1"/>
    <mergeCell ref="A2:L2"/>
    <mergeCell ref="B6:C6"/>
    <mergeCell ref="E6:F6"/>
    <mergeCell ref="H6:I6"/>
    <mergeCell ref="K6:L6"/>
    <mergeCell ref="B7:C7"/>
    <mergeCell ref="E7:F7"/>
    <mergeCell ref="H7:I7"/>
    <mergeCell ref="K7:L7"/>
    <mergeCell ref="B9:C9"/>
    <mergeCell ref="E9:F9"/>
    <mergeCell ref="H9:I9"/>
    <mergeCell ref="K9:L9"/>
    <mergeCell ref="B10:C10"/>
    <mergeCell ref="E10:F10"/>
    <mergeCell ref="H10:I10"/>
    <mergeCell ref="K10:L10"/>
    <mergeCell ref="B13:C13"/>
    <mergeCell ref="H13:K13"/>
    <mergeCell ref="B14:C14"/>
    <mergeCell ref="H14:K14"/>
    <mergeCell ref="B15:C15"/>
    <mergeCell ref="H15:K15"/>
    <mergeCell ref="B16:C16"/>
    <mergeCell ref="H16:K16"/>
  </mergeCells>
  <conditionalFormatting sqref="L14:L15">
    <cfRule type="cellIs" priority="2" operator="greaterThanOrEqual" aboveAverage="0" equalAverage="0" bottom="0" percent="0" rank="0" text="" dxfId="0">
      <formula>1</formula>
    </cfRule>
  </conditionalFormatting>
  <conditionalFormatting sqref="L16">
    <cfRule type="cellIs" priority="3" operator="greaterThanOrEqual" aboveAverage="0" equalAverage="0" bottom="0" percent="0" rank="0" text="" dxfId="1">
      <formula>0.8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B6C"/>
    <pageSetUpPr fitToPage="false"/>
  </sheetPr>
  <dimension ref="A1:R2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0"/>
    <col collapsed="false" customWidth="true" hidden="false" outlineLevel="0" max="12" min="5" style="0" width="12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15"/>
  </cols>
  <sheetData>
    <row r="1" customFormat="false" ht="33.7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36" hidden="false" customHeight="true" outlineLevel="0" collapsed="false">
      <c r="A4" s="27" t="s">
        <v>25</v>
      </c>
      <c r="B4" s="27" t="s">
        <v>26</v>
      </c>
      <c r="C4" s="27" t="s">
        <v>27</v>
      </c>
      <c r="D4" s="27" t="s">
        <v>28</v>
      </c>
      <c r="E4" s="27" t="s">
        <v>29</v>
      </c>
      <c r="F4" s="27" t="s">
        <v>30</v>
      </c>
      <c r="G4" s="27" t="s">
        <v>31</v>
      </c>
      <c r="H4" s="27" t="s">
        <v>32</v>
      </c>
      <c r="I4" s="27" t="s">
        <v>33</v>
      </c>
      <c r="J4" s="27" t="s">
        <v>34</v>
      </c>
      <c r="K4" s="27" t="s">
        <v>35</v>
      </c>
      <c r="L4" s="27" t="s">
        <v>36</v>
      </c>
      <c r="M4" s="27" t="s">
        <v>37</v>
      </c>
      <c r="N4" s="27" t="s">
        <v>38</v>
      </c>
      <c r="O4" s="27" t="s">
        <v>39</v>
      </c>
      <c r="P4" s="27" t="s">
        <v>40</v>
      </c>
      <c r="Q4" s="27" t="s">
        <v>41</v>
      </c>
      <c r="R4" s="27" t="s">
        <v>42</v>
      </c>
    </row>
    <row r="5" customFormat="false" ht="15" hidden="false" customHeight="false" outlineLevel="0" collapsed="false">
      <c r="A5" s="28" t="n">
        <v>46296</v>
      </c>
      <c r="B5" s="29" t="n">
        <f aca="false">COUNTIFS(לקוחות!$G$5:$G$40,"&lt;&gt;ליד",לקוחות!$H$5:$H$40,"&lt;="&amp;EOMONTH($A5,0))-COUNTIFS(לקוחות!$G$5:$G$40,"&lt;&gt;ליד",לקוחות!$I$5:$I$40,"&lt;"&amp;$A5)</f>
        <v>0</v>
      </c>
      <c r="C5" s="29" t="n">
        <f aca="false">COUNTIFS(לקוחות!$G$5:$G$40,"&lt;&gt;ליד",לקוחות!$H$5:$H$40,"&gt;="&amp;$A5,לקוחות!$H$5:$H$40,"&lt;="&amp;EOMONTH($A5,0))</f>
        <v>0</v>
      </c>
      <c r="D5" s="30" t="n">
        <v>1</v>
      </c>
      <c r="E5" s="31" t="n">
        <f aca="false">SUMIFS(לקוחות!$J$5:$J$40,לקוחות!$G$5:$G$40,"&lt;&gt;ליד",לקוחות!$H$5:$H$40,"&lt;="&amp;EOMONTH($A5,0))-SUMIFS(לקוחות!$J$5:$J$40,לקוחות!$G$5:$G$40,"&lt;&gt;ליד",לקוחות!$I$5:$I$40,"&lt;"&amp;$A5)</f>
        <v>0</v>
      </c>
      <c r="F5" s="31" t="n">
        <f aca="false">SUMIFS(לקוחות!$L$5:$L$40,לקוחות!$M$5:$M$40,"&gt;="&amp;$A5,לקוחות!$M$5:$M$40,"&lt;="&amp;EOMONTH($A5,0))+SUMIFS(לקוחות!$N$5:$N$40,לקוחות!$O$5:$O$40,"&gt;="&amp;$A5,לקוחות!$O$5:$O$40,"&lt;="&amp;EOMONTH($A5,0))</f>
        <v>1000</v>
      </c>
      <c r="G5" s="31" t="n">
        <f aca="false">E5+F5</f>
        <v>1000</v>
      </c>
      <c r="H5" s="31" t="n">
        <f aca="false">SUMPRODUCT((הוצאות!$F$5:$F$30="קבוע")*(הוצאות!$G$5:$G$30&lt;&gt;"בוטל")*(הוצאות!$E$5:$E$30&lt;&gt;"חד-פעמי")*(הוצאות!$H$5:$H$30&lt;=EOMONTH($A5,0))*(((הוצאות!$I$5:$I$30="")+(הוצאות!$I$5:$I$30&gt;=$A5))&gt;0)*הוצאות!$M$5:$M$30)</f>
        <v>162.8</v>
      </c>
      <c r="I5" s="31" t="n">
        <f aca="false">B5*SUMPRODUCT((הוצאות!$F$5:$F$30="לכל לקוח")*(הוצאות!$G$5:$G$30&lt;&gt;"בוטל")*(הוצאות!$E$5:$E$30&lt;&gt;"חד-פעמי")*(הוצאות!$H$5:$H$30&lt;=EOMONTH($A5,0))*(((הוצאות!$I$5:$I$30="")+(הוצאות!$I$5:$I$30&gt;=$A5))&gt;0)*הוצאות!$M$5:$M$30)</f>
        <v>0</v>
      </c>
      <c r="J5" s="31" t="n">
        <f aca="false">SUMPRODUCT((הוצאות!$E$5:$E$30="חד-פעמי")*(הוצאות!$G$5:$G$30&lt;&gt;"בוטל")*(הוצאות!$H$5:$H$30&gt;=$A5)*(הוצאות!$H$5:$H$30&lt;=EOMONTH($A5,0))*הוצאות!$L$5:$L$30)</f>
        <v>37</v>
      </c>
      <c r="K5" s="31" t="n">
        <f aca="false">H5+I5+J5</f>
        <v>199.8</v>
      </c>
      <c r="L5" s="31" t="n">
        <f aca="false">G5-K5</f>
        <v>800.2</v>
      </c>
      <c r="M5" s="31" t="n">
        <f aca="false">L5</f>
        <v>800.2</v>
      </c>
      <c r="N5" s="32" t="n">
        <f aca="false">IF(G5=0,0,L5/G5)</f>
        <v>0.8002</v>
      </c>
      <c r="O5" s="31" t="n">
        <f aca="false">SUMPRODUCT((YEAR($A$5:$A$19)=YEAR($A5))*($A$5:$A$19&lt;=$A5)*$G$5:$G$19)</f>
        <v>1000</v>
      </c>
      <c r="P5" s="32" t="n">
        <f aca="false">O5/הגדרות!$B$10</f>
        <v>0.00833333333333333</v>
      </c>
      <c r="Q5" s="31" t="n">
        <f aca="false">IF(D5=0,0,הגדרות!$B$7+(D5-1)*הגדרות!$B$8)-הגדרות!$B$15-D5*הגדרות!$B$14</f>
        <v>90.5</v>
      </c>
      <c r="R5" s="33" t="str">
        <f aca="false">IF(D5=0,"",IF(B5&gt;=D5,"✅ עמדנו ביעד","⏳ חסרים "&amp;(D5-B5)))</f>
        <v>⏳ חסרים 1</v>
      </c>
    </row>
    <row r="6" customFormat="false" ht="15" hidden="false" customHeight="false" outlineLevel="0" collapsed="false">
      <c r="A6" s="34" t="n">
        <v>46327</v>
      </c>
      <c r="B6" s="35" t="n">
        <f aca="false">COUNTIFS(לקוחות!$G$5:$G$40,"&lt;&gt;ליד",לקוחות!$H$5:$H$40,"&lt;="&amp;EOMONTH($A6,0))-COUNTIFS(לקוחות!$G$5:$G$40,"&lt;&gt;ליד",לקוחות!$I$5:$I$40,"&lt;"&amp;$A6)</f>
        <v>1</v>
      </c>
      <c r="C6" s="35" t="n">
        <f aca="false">COUNTIFS(לקוחות!$G$5:$G$40,"&lt;&gt;ליד",לקוחות!$H$5:$H$40,"&gt;="&amp;$A6,לקוחות!$H$5:$H$40,"&lt;="&amp;EOMONTH($A6,0))</f>
        <v>1</v>
      </c>
      <c r="D6" s="30" t="n">
        <v>1</v>
      </c>
      <c r="E6" s="36" t="n">
        <f aca="false">SUMIFS(לקוחות!$J$5:$J$40,לקוחות!$G$5:$G$40,"&lt;&gt;ליד",לקוחות!$H$5:$H$40,"&lt;="&amp;EOMONTH($A6,0))-SUMIFS(לקוחות!$J$5:$J$40,לקוחות!$G$5:$G$40,"&lt;&gt;ליד",לקוחות!$I$5:$I$40,"&lt;"&amp;$A6)</f>
        <v>500</v>
      </c>
      <c r="F6" s="36" t="n">
        <f aca="false">SUMIFS(לקוחות!$L$5:$L$40,לקוחות!$M$5:$M$40,"&gt;="&amp;$A6,לקוחות!$M$5:$M$40,"&lt;="&amp;EOMONTH($A6,0))+SUMIFS(לקוחות!$N$5:$N$40,לקוחות!$O$5:$O$40,"&gt;="&amp;$A6,לקוחות!$O$5:$O$40,"&lt;="&amp;EOMONTH($A6,0))</f>
        <v>0</v>
      </c>
      <c r="G6" s="36" t="n">
        <f aca="false">E6+F6</f>
        <v>500</v>
      </c>
      <c r="H6" s="36" t="n">
        <f aca="false">SUMPRODUCT((הוצאות!$F$5:$F$30="קבוע")*(הוצאות!$G$5:$G$30&lt;&gt;"בוטל")*(הוצאות!$E$5:$E$30&lt;&gt;"חד-פעמי")*(הוצאות!$H$5:$H$30&lt;=EOMONTH($A6,0))*(((הוצאות!$I$5:$I$30="")+(הוצאות!$I$5:$I$30&gt;=$A6))&gt;0)*הוצאות!$M$5:$M$30)</f>
        <v>162.8</v>
      </c>
      <c r="I6" s="36" t="n">
        <f aca="false">B6*SUMPRODUCT((הוצאות!$F$5:$F$30="לכל לקוח")*(הוצאות!$G$5:$G$30&lt;&gt;"בוטל")*(הוצאות!$E$5:$E$30&lt;&gt;"חד-פעמי")*(הוצאות!$H$5:$H$30&lt;=EOMONTH($A6,0))*(((הוצאות!$I$5:$I$30="")+(הוצאות!$I$5:$I$30&gt;=$A6))&gt;0)*הוצאות!$M$5:$M$30)</f>
        <v>246.7</v>
      </c>
      <c r="J6" s="36" t="n">
        <f aca="false">SUMPRODUCT((הוצאות!$E$5:$E$30="חד-פעמי")*(הוצאות!$G$5:$G$30&lt;&gt;"בוטל")*(הוצאות!$H$5:$H$30&gt;=$A6)*(הוצאות!$H$5:$H$30&lt;=EOMONTH($A6,0))*הוצאות!$L$5:$L$30)</f>
        <v>0</v>
      </c>
      <c r="K6" s="36" t="n">
        <f aca="false">H6+I6+J6</f>
        <v>409.5</v>
      </c>
      <c r="L6" s="36" t="n">
        <f aca="false">G6-K6</f>
        <v>90.5</v>
      </c>
      <c r="M6" s="36" t="n">
        <f aca="false">M5+L6</f>
        <v>890.7</v>
      </c>
      <c r="N6" s="37" t="n">
        <f aca="false">IF(G6=0,0,L6/G6)</f>
        <v>0.181</v>
      </c>
      <c r="O6" s="36" t="n">
        <f aca="false">SUMPRODUCT((YEAR($A$5:$A$19)=YEAR($A6))*($A$5:$A$19&lt;=$A6)*$G$5:$G$19)</f>
        <v>1500</v>
      </c>
      <c r="P6" s="37" t="n">
        <f aca="false">O6/הגדרות!$B$10</f>
        <v>0.0125</v>
      </c>
      <c r="Q6" s="36" t="n">
        <f aca="false">IF(D6=0,0,הגדרות!$B$7+(D6-1)*הגדרות!$B$8)-הגדרות!$B$15-D6*הגדרות!$B$14</f>
        <v>90.5</v>
      </c>
      <c r="R6" s="38" t="str">
        <f aca="false">IF(D6=0,"",IF(B6&gt;=D6,"✅ עמדנו ביעד","⏳ חסרים "&amp;(D6-B6)))</f>
        <v>✅ עמדנו ביעד</v>
      </c>
    </row>
    <row r="7" customFormat="false" ht="15" hidden="false" customHeight="false" outlineLevel="0" collapsed="false">
      <c r="A7" s="28" t="n">
        <v>46357</v>
      </c>
      <c r="B7" s="29" t="n">
        <f aca="false">COUNTIFS(לקוחות!$G$5:$G$40,"&lt;&gt;ליד",לקוחות!$H$5:$H$40,"&lt;="&amp;EOMONTH($A7,0))-COUNTIFS(לקוחות!$G$5:$G$40,"&lt;&gt;ליד",לקוחות!$I$5:$I$40,"&lt;"&amp;$A7)</f>
        <v>1</v>
      </c>
      <c r="C7" s="29" t="n">
        <f aca="false">COUNTIFS(לקוחות!$G$5:$G$40,"&lt;&gt;ליד",לקוחות!$H$5:$H$40,"&gt;="&amp;$A7,לקוחות!$H$5:$H$40,"&lt;="&amp;EOMONTH($A7,0))</f>
        <v>0</v>
      </c>
      <c r="D7" s="30" t="n">
        <v>2</v>
      </c>
      <c r="E7" s="31" t="n">
        <f aca="false">SUMIFS(לקוחות!$J$5:$J$40,לקוחות!$G$5:$G$40,"&lt;&gt;ליד",לקוחות!$H$5:$H$40,"&lt;="&amp;EOMONTH($A7,0))-SUMIFS(לקוחות!$J$5:$J$40,לקוחות!$G$5:$G$40,"&lt;&gt;ליד",לקוחות!$I$5:$I$40,"&lt;"&amp;$A7)</f>
        <v>500</v>
      </c>
      <c r="F7" s="31" t="n">
        <f aca="false">SUMIFS(לקוחות!$L$5:$L$40,לקוחות!$M$5:$M$40,"&gt;="&amp;$A7,לקוחות!$M$5:$M$40,"&lt;="&amp;EOMONTH($A7,0))+SUMIFS(לקוחות!$N$5:$N$40,לקוחות!$O$5:$O$40,"&gt;="&amp;$A7,לקוחות!$O$5:$O$40,"&lt;="&amp;EOMONTH($A7,0))</f>
        <v>0</v>
      </c>
      <c r="G7" s="31" t="n">
        <f aca="false">E7+F7</f>
        <v>500</v>
      </c>
      <c r="H7" s="31" t="n">
        <f aca="false">SUMPRODUCT((הוצאות!$F$5:$F$30="קבוע")*(הוצאות!$G$5:$G$30&lt;&gt;"בוטל")*(הוצאות!$E$5:$E$30&lt;&gt;"חד-פעמי")*(הוצאות!$H$5:$H$30&lt;=EOMONTH($A7,0))*(((הוצאות!$I$5:$I$30="")+(הוצאות!$I$5:$I$30&gt;=$A7))&gt;0)*הוצאות!$M$5:$M$30)</f>
        <v>162.8</v>
      </c>
      <c r="I7" s="31" t="n">
        <f aca="false">B7*SUMPRODUCT((הוצאות!$F$5:$F$30="לכל לקוח")*(הוצאות!$G$5:$G$30&lt;&gt;"בוטל")*(הוצאות!$E$5:$E$30&lt;&gt;"חד-פעמי")*(הוצאות!$H$5:$H$30&lt;=EOMONTH($A7,0))*(((הוצאות!$I$5:$I$30="")+(הוצאות!$I$5:$I$30&gt;=$A7))&gt;0)*הוצאות!$M$5:$M$30)</f>
        <v>246.7</v>
      </c>
      <c r="J7" s="31" t="n">
        <f aca="false">SUMPRODUCT((הוצאות!$E$5:$E$30="חד-פעמי")*(הוצאות!$G$5:$G$30&lt;&gt;"בוטל")*(הוצאות!$H$5:$H$30&gt;=$A7)*(הוצאות!$H$5:$H$30&lt;=EOMONTH($A7,0))*הוצאות!$L$5:$L$30)</f>
        <v>0</v>
      </c>
      <c r="K7" s="31" t="n">
        <f aca="false">H7+I7+J7</f>
        <v>409.5</v>
      </c>
      <c r="L7" s="31" t="n">
        <f aca="false">G7-K7</f>
        <v>90.5</v>
      </c>
      <c r="M7" s="31" t="n">
        <f aca="false">M6+L7</f>
        <v>981.2</v>
      </c>
      <c r="N7" s="32" t="n">
        <f aca="false">IF(G7=0,0,L7/G7)</f>
        <v>0.181</v>
      </c>
      <c r="O7" s="31" t="n">
        <f aca="false">SUMPRODUCT((YEAR($A$5:$A$19)=YEAR($A7))*($A$5:$A$19&lt;=$A7)*$G$5:$G$19)</f>
        <v>2000</v>
      </c>
      <c r="P7" s="32" t="n">
        <f aca="false">O7/הגדרות!$B$10</f>
        <v>0.0166666666666667</v>
      </c>
      <c r="Q7" s="31" t="n">
        <f aca="false">IF(D7=0,0,הגדרות!$B$7+(D7-1)*הגדרות!$B$8)-הגדרות!$B$15-D7*הגדרות!$B$14</f>
        <v>433.8</v>
      </c>
      <c r="R7" s="33" t="str">
        <f aca="false">IF(D7=0,"",IF(B7&gt;=D7,"✅ עמדנו ביעד","⏳ חסרים "&amp;(D7-B7)))</f>
        <v>⏳ חסרים 1</v>
      </c>
    </row>
    <row r="8" customFormat="false" ht="15" hidden="false" customHeight="false" outlineLevel="0" collapsed="false">
      <c r="A8" s="34" t="n">
        <v>46388</v>
      </c>
      <c r="B8" s="35" t="n">
        <f aca="false">COUNTIFS(לקוחות!$G$5:$G$40,"&lt;&gt;ליד",לקוחות!$H$5:$H$40,"&lt;="&amp;EOMONTH($A8,0))-COUNTIFS(לקוחות!$G$5:$G$40,"&lt;&gt;ליד",לקוחות!$I$5:$I$40,"&lt;"&amp;$A8)</f>
        <v>1</v>
      </c>
      <c r="C8" s="35" t="n">
        <f aca="false">COUNTIFS(לקוחות!$G$5:$G$40,"&lt;&gt;ליד",לקוחות!$H$5:$H$40,"&gt;="&amp;$A8,לקוחות!$H$5:$H$40,"&lt;="&amp;EOMONTH($A8,0))</f>
        <v>0</v>
      </c>
      <c r="D8" s="30" t="n">
        <v>3</v>
      </c>
      <c r="E8" s="36" t="n">
        <f aca="false">SUMIFS(לקוחות!$J$5:$J$40,לקוחות!$G$5:$G$40,"&lt;&gt;ליד",לקוחות!$H$5:$H$40,"&lt;="&amp;EOMONTH($A8,0))-SUMIFS(לקוחות!$J$5:$J$40,לקוחות!$G$5:$G$40,"&lt;&gt;ליד",לקוחות!$I$5:$I$40,"&lt;"&amp;$A8)</f>
        <v>500</v>
      </c>
      <c r="F8" s="36" t="n">
        <f aca="false">SUMIFS(לקוחות!$L$5:$L$40,לקוחות!$M$5:$M$40,"&gt;="&amp;$A8,לקוחות!$M$5:$M$40,"&lt;="&amp;EOMONTH($A8,0))+SUMIFS(לקוחות!$N$5:$N$40,לקוחות!$O$5:$O$40,"&gt;="&amp;$A8,לקוחות!$O$5:$O$40,"&lt;="&amp;EOMONTH($A8,0))</f>
        <v>0</v>
      </c>
      <c r="G8" s="36" t="n">
        <f aca="false">E8+F8</f>
        <v>500</v>
      </c>
      <c r="H8" s="36" t="n">
        <f aca="false">SUMPRODUCT((הוצאות!$F$5:$F$30="קבוע")*(הוצאות!$G$5:$G$30&lt;&gt;"בוטל")*(הוצאות!$E$5:$E$30&lt;&gt;"חד-פעמי")*(הוצאות!$H$5:$H$30&lt;=EOMONTH($A8,0))*(((הוצאות!$I$5:$I$30="")+(הוצאות!$I$5:$I$30&gt;=$A8))&gt;0)*הוצאות!$M$5:$M$30)</f>
        <v>162.8</v>
      </c>
      <c r="I8" s="36" t="n">
        <f aca="false">B8*SUMPRODUCT((הוצאות!$F$5:$F$30="לכל לקוח")*(הוצאות!$G$5:$G$30&lt;&gt;"בוטל")*(הוצאות!$E$5:$E$30&lt;&gt;"חד-פעמי")*(הוצאות!$H$5:$H$30&lt;=EOMONTH($A8,0))*(((הוצאות!$I$5:$I$30="")+(הוצאות!$I$5:$I$30&gt;=$A8))&gt;0)*הוצאות!$M$5:$M$30)</f>
        <v>246.7</v>
      </c>
      <c r="J8" s="36" t="n">
        <f aca="false">SUMPRODUCT((הוצאות!$E$5:$E$30="חד-פעמי")*(הוצאות!$G$5:$G$30&lt;&gt;"בוטל")*(הוצאות!$H$5:$H$30&gt;=$A8)*(הוצאות!$H$5:$H$30&lt;=EOMONTH($A8,0))*הוצאות!$L$5:$L$30)</f>
        <v>0</v>
      </c>
      <c r="K8" s="36" t="n">
        <f aca="false">H8+I8+J8</f>
        <v>409.5</v>
      </c>
      <c r="L8" s="36" t="n">
        <f aca="false">G8-K8</f>
        <v>90.5</v>
      </c>
      <c r="M8" s="36" t="n">
        <f aca="false">M7+L8</f>
        <v>1071.7</v>
      </c>
      <c r="N8" s="37" t="n">
        <f aca="false">IF(G8=0,0,L8/G8)</f>
        <v>0.181</v>
      </c>
      <c r="O8" s="36" t="n">
        <f aca="false">SUMPRODUCT((YEAR($A$5:$A$19)=YEAR($A8))*($A$5:$A$19&lt;=$A8)*$G$5:$G$19)</f>
        <v>500</v>
      </c>
      <c r="P8" s="37" t="n">
        <f aca="false">O8/הגדרות!$B$10</f>
        <v>0.00416666666666667</v>
      </c>
      <c r="Q8" s="36" t="n">
        <f aca="false">IF(D8=0,0,הגדרות!$B$7+(D8-1)*הגדרות!$B$8)-הגדרות!$B$15-D8*הגדרות!$B$14</f>
        <v>777.1</v>
      </c>
      <c r="R8" s="38" t="str">
        <f aca="false">IF(D8=0,"",IF(B8&gt;=D8,"✅ עמדנו ביעד","⏳ חסרים "&amp;(D8-B8)))</f>
        <v>⏳ חסרים 2</v>
      </c>
    </row>
    <row r="9" customFormat="false" ht="15" hidden="false" customHeight="false" outlineLevel="0" collapsed="false">
      <c r="A9" s="28" t="n">
        <v>46419</v>
      </c>
      <c r="B9" s="29" t="n">
        <f aca="false">COUNTIFS(לקוחות!$G$5:$G$40,"&lt;&gt;ליד",לקוחות!$H$5:$H$40,"&lt;="&amp;EOMONTH($A9,0))-COUNTIFS(לקוחות!$G$5:$G$40,"&lt;&gt;ליד",לקוחות!$I$5:$I$40,"&lt;"&amp;$A9)</f>
        <v>1</v>
      </c>
      <c r="C9" s="29" t="n">
        <f aca="false">COUNTIFS(לקוחות!$G$5:$G$40,"&lt;&gt;ליד",לקוחות!$H$5:$H$40,"&gt;="&amp;$A9,לקוחות!$H$5:$H$40,"&lt;="&amp;EOMONTH($A9,0))</f>
        <v>0</v>
      </c>
      <c r="D9" s="30" t="n">
        <v>3</v>
      </c>
      <c r="E9" s="31" t="n">
        <f aca="false">SUMIFS(לקוחות!$J$5:$J$40,לקוחות!$G$5:$G$40,"&lt;&gt;ליד",לקוחות!$H$5:$H$40,"&lt;="&amp;EOMONTH($A9,0))-SUMIFS(לקוחות!$J$5:$J$40,לקוחות!$G$5:$G$40,"&lt;&gt;ליד",לקוחות!$I$5:$I$40,"&lt;"&amp;$A9)</f>
        <v>500</v>
      </c>
      <c r="F9" s="31" t="n">
        <f aca="false">SUMIFS(לקוחות!$L$5:$L$40,לקוחות!$M$5:$M$40,"&gt;="&amp;$A9,לקוחות!$M$5:$M$40,"&lt;="&amp;EOMONTH($A9,0))+SUMIFS(לקוחות!$N$5:$N$40,לקוחות!$O$5:$O$40,"&gt;="&amp;$A9,לקוחות!$O$5:$O$40,"&lt;="&amp;EOMONTH($A9,0))</f>
        <v>0</v>
      </c>
      <c r="G9" s="31" t="n">
        <f aca="false">E9+F9</f>
        <v>500</v>
      </c>
      <c r="H9" s="31" t="n">
        <f aca="false">SUMPRODUCT((הוצאות!$F$5:$F$30="קבוע")*(הוצאות!$G$5:$G$30&lt;&gt;"בוטל")*(הוצאות!$E$5:$E$30&lt;&gt;"חד-פעמי")*(הוצאות!$H$5:$H$30&lt;=EOMONTH($A9,0))*(((הוצאות!$I$5:$I$30="")+(הוצאות!$I$5:$I$30&gt;=$A9))&gt;0)*הוצאות!$M$5:$M$30)</f>
        <v>162.8</v>
      </c>
      <c r="I9" s="31" t="n">
        <f aca="false">B9*SUMPRODUCT((הוצאות!$F$5:$F$30="לכל לקוח")*(הוצאות!$G$5:$G$30&lt;&gt;"בוטל")*(הוצאות!$E$5:$E$30&lt;&gt;"חד-פעמי")*(הוצאות!$H$5:$H$30&lt;=EOMONTH($A9,0))*(((הוצאות!$I$5:$I$30="")+(הוצאות!$I$5:$I$30&gt;=$A9))&gt;0)*הוצאות!$M$5:$M$30)</f>
        <v>246.7</v>
      </c>
      <c r="J9" s="31" t="n">
        <f aca="false">SUMPRODUCT((הוצאות!$E$5:$E$30="חד-פעמי")*(הוצאות!$G$5:$G$30&lt;&gt;"בוטל")*(הוצאות!$H$5:$H$30&gt;=$A9)*(הוצאות!$H$5:$H$30&lt;=EOMONTH($A9,0))*הוצאות!$L$5:$L$30)</f>
        <v>0</v>
      </c>
      <c r="K9" s="31" t="n">
        <f aca="false">H9+I9+J9</f>
        <v>409.5</v>
      </c>
      <c r="L9" s="31" t="n">
        <f aca="false">G9-K9</f>
        <v>90.5</v>
      </c>
      <c r="M9" s="31" t="n">
        <f aca="false">M8+L9</f>
        <v>1162.2</v>
      </c>
      <c r="N9" s="32" t="n">
        <f aca="false">IF(G9=0,0,L9/G9)</f>
        <v>0.181</v>
      </c>
      <c r="O9" s="31" t="n">
        <f aca="false">SUMPRODUCT((YEAR($A$5:$A$19)=YEAR($A9))*($A$5:$A$19&lt;=$A9)*$G$5:$G$19)</f>
        <v>1000</v>
      </c>
      <c r="P9" s="32" t="n">
        <f aca="false">O9/הגדרות!$B$10</f>
        <v>0.00833333333333333</v>
      </c>
      <c r="Q9" s="31" t="n">
        <f aca="false">IF(D9=0,0,הגדרות!$B$7+(D9-1)*הגדרות!$B$8)-הגדרות!$B$15-D9*הגדרות!$B$14</f>
        <v>777.1</v>
      </c>
      <c r="R9" s="33" t="str">
        <f aca="false">IF(D9=0,"",IF(B9&gt;=D9,"✅ עמדנו ביעד","⏳ חסרים "&amp;(D9-B9)))</f>
        <v>⏳ חסרים 2</v>
      </c>
    </row>
    <row r="10" customFormat="false" ht="15" hidden="false" customHeight="false" outlineLevel="0" collapsed="false">
      <c r="A10" s="34" t="n">
        <v>46447</v>
      </c>
      <c r="B10" s="35" t="n">
        <f aca="false">COUNTIFS(לקוחות!$G$5:$G$40,"&lt;&gt;ליד",לקוחות!$H$5:$H$40,"&lt;="&amp;EOMONTH($A10,0))-COUNTIFS(לקוחות!$G$5:$G$40,"&lt;&gt;ליד",לקוחות!$I$5:$I$40,"&lt;"&amp;$A10)</f>
        <v>1</v>
      </c>
      <c r="C10" s="35" t="n">
        <f aca="false">COUNTIFS(לקוחות!$G$5:$G$40,"&lt;&gt;ליד",לקוחות!$H$5:$H$40,"&gt;="&amp;$A10,לקוחות!$H$5:$H$40,"&lt;="&amp;EOMONTH($A10,0))</f>
        <v>0</v>
      </c>
      <c r="D10" s="30" t="n">
        <v>4</v>
      </c>
      <c r="E10" s="36" t="n">
        <f aca="false">SUMIFS(לקוחות!$J$5:$J$40,לקוחות!$G$5:$G$40,"&lt;&gt;ליד",לקוחות!$H$5:$H$40,"&lt;="&amp;EOMONTH($A10,0))-SUMIFS(לקוחות!$J$5:$J$40,לקוחות!$G$5:$G$40,"&lt;&gt;ליד",לקוחות!$I$5:$I$40,"&lt;"&amp;$A10)</f>
        <v>500</v>
      </c>
      <c r="F10" s="36" t="n">
        <f aca="false">SUMIFS(לקוחות!$L$5:$L$40,לקוחות!$M$5:$M$40,"&gt;="&amp;$A10,לקוחות!$M$5:$M$40,"&lt;="&amp;EOMONTH($A10,0))+SUMIFS(לקוחות!$N$5:$N$40,לקוחות!$O$5:$O$40,"&gt;="&amp;$A10,לקוחות!$O$5:$O$40,"&lt;="&amp;EOMONTH($A10,0))</f>
        <v>0</v>
      </c>
      <c r="G10" s="36" t="n">
        <f aca="false">E10+F10</f>
        <v>500</v>
      </c>
      <c r="H10" s="36" t="n">
        <f aca="false">SUMPRODUCT((הוצאות!$F$5:$F$30="קבוע")*(הוצאות!$G$5:$G$30&lt;&gt;"בוטל")*(הוצאות!$E$5:$E$30&lt;&gt;"חד-פעמי")*(הוצאות!$H$5:$H$30&lt;=EOMONTH($A10,0))*(((הוצאות!$I$5:$I$30="")+(הוצאות!$I$5:$I$30&gt;=$A10))&gt;0)*הוצאות!$M$5:$M$30)</f>
        <v>162.8</v>
      </c>
      <c r="I10" s="36" t="n">
        <f aca="false">B10*SUMPRODUCT((הוצאות!$F$5:$F$30="לכל לקוח")*(הוצאות!$G$5:$G$30&lt;&gt;"בוטל")*(הוצאות!$E$5:$E$30&lt;&gt;"חד-פעמי")*(הוצאות!$H$5:$H$30&lt;=EOMONTH($A10,0))*(((הוצאות!$I$5:$I$30="")+(הוצאות!$I$5:$I$30&gt;=$A10))&gt;0)*הוצאות!$M$5:$M$30)</f>
        <v>246.7</v>
      </c>
      <c r="J10" s="36" t="n">
        <f aca="false">SUMPRODUCT((הוצאות!$E$5:$E$30="חד-פעמי")*(הוצאות!$G$5:$G$30&lt;&gt;"בוטל")*(הוצאות!$H$5:$H$30&gt;=$A10)*(הוצאות!$H$5:$H$30&lt;=EOMONTH($A10,0))*הוצאות!$L$5:$L$30)</f>
        <v>0</v>
      </c>
      <c r="K10" s="36" t="n">
        <f aca="false">H10+I10+J10</f>
        <v>409.5</v>
      </c>
      <c r="L10" s="36" t="n">
        <f aca="false">G10-K10</f>
        <v>90.5</v>
      </c>
      <c r="M10" s="36" t="n">
        <f aca="false">M9+L10</f>
        <v>1252.7</v>
      </c>
      <c r="N10" s="37" t="n">
        <f aca="false">IF(G10=0,0,L10/G10)</f>
        <v>0.181</v>
      </c>
      <c r="O10" s="36" t="n">
        <f aca="false">SUMPRODUCT((YEAR($A$5:$A$19)=YEAR($A10))*($A$5:$A$19&lt;=$A10)*$G$5:$G$19)</f>
        <v>1500</v>
      </c>
      <c r="P10" s="37" t="n">
        <f aca="false">O10/הגדרות!$B$10</f>
        <v>0.0125</v>
      </c>
      <c r="Q10" s="36" t="n">
        <f aca="false">IF(D10=0,0,הגדרות!$B$7+(D10-1)*הגדרות!$B$8)-הגדרות!$B$15-D10*הגדרות!$B$14</f>
        <v>1120.4</v>
      </c>
      <c r="R10" s="38" t="str">
        <f aca="false">IF(D10=0,"",IF(B10&gt;=D10,"✅ עמדנו ביעד","⏳ חסרים "&amp;(D10-B10)))</f>
        <v>⏳ חסרים 3</v>
      </c>
    </row>
    <row r="11" customFormat="false" ht="15" hidden="false" customHeight="false" outlineLevel="0" collapsed="false">
      <c r="A11" s="28" t="n">
        <v>46478</v>
      </c>
      <c r="B11" s="29" t="n">
        <f aca="false">COUNTIFS(לקוחות!$G$5:$G$40,"&lt;&gt;ליד",לקוחות!$H$5:$H$40,"&lt;="&amp;EOMONTH($A11,0))-COUNTIFS(לקוחות!$G$5:$G$40,"&lt;&gt;ליד",לקוחות!$I$5:$I$40,"&lt;"&amp;$A11)</f>
        <v>1</v>
      </c>
      <c r="C11" s="29" t="n">
        <f aca="false">COUNTIFS(לקוחות!$G$5:$G$40,"&lt;&gt;ליד",לקוחות!$H$5:$H$40,"&gt;="&amp;$A11,לקוחות!$H$5:$H$40,"&lt;="&amp;EOMONTH($A11,0))</f>
        <v>0</v>
      </c>
      <c r="D11" s="30" t="n">
        <v>5</v>
      </c>
      <c r="E11" s="31" t="n">
        <f aca="false">SUMIFS(לקוחות!$J$5:$J$40,לקוחות!$G$5:$G$40,"&lt;&gt;ליד",לקוחות!$H$5:$H$40,"&lt;="&amp;EOMONTH($A11,0))-SUMIFS(לקוחות!$J$5:$J$40,לקוחות!$G$5:$G$40,"&lt;&gt;ליד",לקוחות!$I$5:$I$40,"&lt;"&amp;$A11)</f>
        <v>500</v>
      </c>
      <c r="F11" s="31" t="n">
        <f aca="false">SUMIFS(לקוחות!$L$5:$L$40,לקוחות!$M$5:$M$40,"&gt;="&amp;$A11,לקוחות!$M$5:$M$40,"&lt;="&amp;EOMONTH($A11,0))+SUMIFS(לקוחות!$N$5:$N$40,לקוחות!$O$5:$O$40,"&gt;="&amp;$A11,לקוחות!$O$5:$O$40,"&lt;="&amp;EOMONTH($A11,0))</f>
        <v>0</v>
      </c>
      <c r="G11" s="31" t="n">
        <f aca="false">E11+F11</f>
        <v>500</v>
      </c>
      <c r="H11" s="31" t="n">
        <f aca="false">SUMPRODUCT((הוצאות!$F$5:$F$30="קבוע")*(הוצאות!$G$5:$G$30&lt;&gt;"בוטל")*(הוצאות!$E$5:$E$30&lt;&gt;"חד-פעמי")*(הוצאות!$H$5:$H$30&lt;=EOMONTH($A11,0))*(((הוצאות!$I$5:$I$30="")+(הוצאות!$I$5:$I$30&gt;=$A11))&gt;0)*הוצאות!$M$5:$M$30)</f>
        <v>162.8</v>
      </c>
      <c r="I11" s="31" t="n">
        <f aca="false">B11*SUMPRODUCT((הוצאות!$F$5:$F$30="לכל לקוח")*(הוצאות!$G$5:$G$30&lt;&gt;"בוטל")*(הוצאות!$E$5:$E$30&lt;&gt;"חד-פעמי")*(הוצאות!$H$5:$H$30&lt;=EOMONTH($A11,0))*(((הוצאות!$I$5:$I$30="")+(הוצאות!$I$5:$I$30&gt;=$A11))&gt;0)*הוצאות!$M$5:$M$30)</f>
        <v>246.7</v>
      </c>
      <c r="J11" s="31" t="n">
        <f aca="false">SUMPRODUCT((הוצאות!$E$5:$E$30="חד-פעמי")*(הוצאות!$G$5:$G$30&lt;&gt;"בוטל")*(הוצאות!$H$5:$H$30&gt;=$A11)*(הוצאות!$H$5:$H$30&lt;=EOMONTH($A11,0))*הוצאות!$L$5:$L$30)</f>
        <v>0</v>
      </c>
      <c r="K11" s="31" t="n">
        <f aca="false">H11+I11+J11</f>
        <v>409.5</v>
      </c>
      <c r="L11" s="31" t="n">
        <f aca="false">G11-K11</f>
        <v>90.5</v>
      </c>
      <c r="M11" s="31" t="n">
        <f aca="false">M10+L11</f>
        <v>1343.2</v>
      </c>
      <c r="N11" s="32" t="n">
        <f aca="false">IF(G11=0,0,L11/G11)</f>
        <v>0.181</v>
      </c>
      <c r="O11" s="31" t="n">
        <f aca="false">SUMPRODUCT((YEAR($A$5:$A$19)=YEAR($A11))*($A$5:$A$19&lt;=$A11)*$G$5:$G$19)</f>
        <v>2000</v>
      </c>
      <c r="P11" s="32" t="n">
        <f aca="false">O11/הגדרות!$B$10</f>
        <v>0.0166666666666667</v>
      </c>
      <c r="Q11" s="31" t="n">
        <f aca="false">IF(D11=0,0,הגדרות!$B$7+(D11-1)*הגדרות!$B$8)-הגדרות!$B$15-D11*הגדרות!$B$14</f>
        <v>1463.7</v>
      </c>
      <c r="R11" s="33" t="str">
        <f aca="false">IF(D11=0,"",IF(B11&gt;=D11,"✅ עמדנו ביעד","⏳ חסרים "&amp;(D11-B11)))</f>
        <v>⏳ חסרים 4</v>
      </c>
    </row>
    <row r="12" customFormat="false" ht="15" hidden="false" customHeight="false" outlineLevel="0" collapsed="false">
      <c r="A12" s="34" t="n">
        <v>46508</v>
      </c>
      <c r="B12" s="35" t="n">
        <f aca="false">COUNTIFS(לקוחות!$G$5:$G$40,"&lt;&gt;ליד",לקוחות!$H$5:$H$40,"&lt;="&amp;EOMONTH($A12,0))-COUNTIFS(לקוחות!$G$5:$G$40,"&lt;&gt;ליד",לקוחות!$I$5:$I$40,"&lt;"&amp;$A12)</f>
        <v>1</v>
      </c>
      <c r="C12" s="35" t="n">
        <f aca="false">COUNTIFS(לקוחות!$G$5:$G$40,"&lt;&gt;ליד",לקוחות!$H$5:$H$40,"&gt;="&amp;$A12,לקוחות!$H$5:$H$40,"&lt;="&amp;EOMONTH($A12,0))</f>
        <v>0</v>
      </c>
      <c r="D12" s="30" t="n">
        <v>5</v>
      </c>
      <c r="E12" s="36" t="n">
        <f aca="false">SUMIFS(לקוחות!$J$5:$J$40,לקוחות!$G$5:$G$40,"&lt;&gt;ליד",לקוחות!$H$5:$H$40,"&lt;="&amp;EOMONTH($A12,0))-SUMIFS(לקוחות!$J$5:$J$40,לקוחות!$G$5:$G$40,"&lt;&gt;ליד",לקוחות!$I$5:$I$40,"&lt;"&amp;$A12)</f>
        <v>500</v>
      </c>
      <c r="F12" s="36" t="n">
        <f aca="false">SUMIFS(לקוחות!$L$5:$L$40,לקוחות!$M$5:$M$40,"&gt;="&amp;$A12,לקוחות!$M$5:$M$40,"&lt;="&amp;EOMONTH($A12,0))+SUMIFS(לקוחות!$N$5:$N$40,לקוחות!$O$5:$O$40,"&gt;="&amp;$A12,לקוחות!$O$5:$O$40,"&lt;="&amp;EOMONTH($A12,0))</f>
        <v>0</v>
      </c>
      <c r="G12" s="36" t="n">
        <f aca="false">E12+F12</f>
        <v>500</v>
      </c>
      <c r="H12" s="36" t="n">
        <f aca="false">SUMPRODUCT((הוצאות!$F$5:$F$30="קבוע")*(הוצאות!$G$5:$G$30&lt;&gt;"בוטל")*(הוצאות!$E$5:$E$30&lt;&gt;"חד-פעמי")*(הוצאות!$H$5:$H$30&lt;=EOMONTH($A12,0))*(((הוצאות!$I$5:$I$30="")+(הוצאות!$I$5:$I$30&gt;=$A12))&gt;0)*הוצאות!$M$5:$M$30)</f>
        <v>162.8</v>
      </c>
      <c r="I12" s="36" t="n">
        <f aca="false">B12*SUMPRODUCT((הוצאות!$F$5:$F$30="לכל לקוח")*(הוצאות!$G$5:$G$30&lt;&gt;"בוטל")*(הוצאות!$E$5:$E$30&lt;&gt;"חד-פעמי")*(הוצאות!$H$5:$H$30&lt;=EOMONTH($A12,0))*(((הוצאות!$I$5:$I$30="")+(הוצאות!$I$5:$I$30&gt;=$A12))&gt;0)*הוצאות!$M$5:$M$30)</f>
        <v>246.7</v>
      </c>
      <c r="J12" s="36" t="n">
        <f aca="false">SUMPRODUCT((הוצאות!$E$5:$E$30="חד-פעמי")*(הוצאות!$G$5:$G$30&lt;&gt;"בוטל")*(הוצאות!$H$5:$H$30&gt;=$A12)*(הוצאות!$H$5:$H$30&lt;=EOMONTH($A12,0))*הוצאות!$L$5:$L$30)</f>
        <v>0</v>
      </c>
      <c r="K12" s="36" t="n">
        <f aca="false">H12+I12+J12</f>
        <v>409.5</v>
      </c>
      <c r="L12" s="36" t="n">
        <f aca="false">G12-K12</f>
        <v>90.5</v>
      </c>
      <c r="M12" s="36" t="n">
        <f aca="false">M11+L12</f>
        <v>1433.7</v>
      </c>
      <c r="N12" s="37" t="n">
        <f aca="false">IF(G12=0,0,L12/G12)</f>
        <v>0.181</v>
      </c>
      <c r="O12" s="36" t="n">
        <f aca="false">SUMPRODUCT((YEAR($A$5:$A$19)=YEAR($A12))*($A$5:$A$19&lt;=$A12)*$G$5:$G$19)</f>
        <v>2500</v>
      </c>
      <c r="P12" s="37" t="n">
        <f aca="false">O12/הגדרות!$B$10</f>
        <v>0.0208333333333333</v>
      </c>
      <c r="Q12" s="36" t="n">
        <f aca="false">IF(D12=0,0,הגדרות!$B$7+(D12-1)*הגדרות!$B$8)-הגדרות!$B$15-D12*הגדרות!$B$14</f>
        <v>1463.7</v>
      </c>
      <c r="R12" s="38" t="str">
        <f aca="false">IF(D12=0,"",IF(B12&gt;=D12,"✅ עמדנו ביעד","⏳ חסרים "&amp;(D12-B12)))</f>
        <v>⏳ חסרים 4</v>
      </c>
    </row>
    <row r="13" customFormat="false" ht="15" hidden="false" customHeight="false" outlineLevel="0" collapsed="false">
      <c r="A13" s="28" t="n">
        <v>46539</v>
      </c>
      <c r="B13" s="29" t="n">
        <f aca="false">COUNTIFS(לקוחות!$G$5:$G$40,"&lt;&gt;ליד",לקוחות!$H$5:$H$40,"&lt;="&amp;EOMONTH($A13,0))-COUNTIFS(לקוחות!$G$5:$G$40,"&lt;&gt;ליד",לקוחות!$I$5:$I$40,"&lt;"&amp;$A13)</f>
        <v>1</v>
      </c>
      <c r="C13" s="29" t="n">
        <f aca="false">COUNTIFS(לקוחות!$G$5:$G$40,"&lt;&gt;ליד",לקוחות!$H$5:$H$40,"&gt;="&amp;$A13,לקוחות!$H$5:$H$40,"&lt;="&amp;EOMONTH($A13,0))</f>
        <v>0</v>
      </c>
      <c r="D13" s="30" t="n">
        <v>6</v>
      </c>
      <c r="E13" s="31" t="n">
        <f aca="false">SUMIFS(לקוחות!$J$5:$J$40,לקוחות!$G$5:$G$40,"&lt;&gt;ליד",לקוחות!$H$5:$H$40,"&lt;="&amp;EOMONTH($A13,0))-SUMIFS(לקוחות!$J$5:$J$40,לקוחות!$G$5:$G$40,"&lt;&gt;ליד",לקוחות!$I$5:$I$40,"&lt;"&amp;$A13)</f>
        <v>500</v>
      </c>
      <c r="F13" s="31" t="n">
        <f aca="false">SUMIFS(לקוחות!$L$5:$L$40,לקוחות!$M$5:$M$40,"&gt;="&amp;$A13,לקוחות!$M$5:$M$40,"&lt;="&amp;EOMONTH($A13,0))+SUMIFS(לקוחות!$N$5:$N$40,לקוחות!$O$5:$O$40,"&gt;="&amp;$A13,לקוחות!$O$5:$O$40,"&lt;="&amp;EOMONTH($A13,0))</f>
        <v>0</v>
      </c>
      <c r="G13" s="31" t="n">
        <f aca="false">E13+F13</f>
        <v>500</v>
      </c>
      <c r="H13" s="31" t="n">
        <f aca="false">SUMPRODUCT((הוצאות!$F$5:$F$30="קבוע")*(הוצאות!$G$5:$G$30&lt;&gt;"בוטל")*(הוצאות!$E$5:$E$30&lt;&gt;"חד-פעמי")*(הוצאות!$H$5:$H$30&lt;=EOMONTH($A13,0))*(((הוצאות!$I$5:$I$30="")+(הוצאות!$I$5:$I$30&gt;=$A13))&gt;0)*הוצאות!$M$5:$M$30)</f>
        <v>162.8</v>
      </c>
      <c r="I13" s="31" t="n">
        <f aca="false">B13*SUMPRODUCT((הוצאות!$F$5:$F$30="לכל לקוח")*(הוצאות!$G$5:$G$30&lt;&gt;"בוטל")*(הוצאות!$E$5:$E$30&lt;&gt;"חד-פעמי")*(הוצאות!$H$5:$H$30&lt;=EOMONTH($A13,0))*(((הוצאות!$I$5:$I$30="")+(הוצאות!$I$5:$I$30&gt;=$A13))&gt;0)*הוצאות!$M$5:$M$30)</f>
        <v>246.7</v>
      </c>
      <c r="J13" s="31" t="n">
        <f aca="false">SUMPRODUCT((הוצאות!$E$5:$E$30="חד-פעמי")*(הוצאות!$G$5:$G$30&lt;&gt;"בוטל")*(הוצאות!$H$5:$H$30&gt;=$A13)*(הוצאות!$H$5:$H$30&lt;=EOMONTH($A13,0))*הוצאות!$L$5:$L$30)</f>
        <v>0</v>
      </c>
      <c r="K13" s="31" t="n">
        <f aca="false">H13+I13+J13</f>
        <v>409.5</v>
      </c>
      <c r="L13" s="31" t="n">
        <f aca="false">G13-K13</f>
        <v>90.5</v>
      </c>
      <c r="M13" s="31" t="n">
        <f aca="false">M12+L13</f>
        <v>1524.2</v>
      </c>
      <c r="N13" s="32" t="n">
        <f aca="false">IF(G13=0,0,L13/G13)</f>
        <v>0.181</v>
      </c>
      <c r="O13" s="31" t="n">
        <f aca="false">SUMPRODUCT((YEAR($A$5:$A$19)=YEAR($A13))*($A$5:$A$19&lt;=$A13)*$G$5:$G$19)</f>
        <v>3000</v>
      </c>
      <c r="P13" s="32" t="n">
        <f aca="false">O13/הגדרות!$B$10</f>
        <v>0.025</v>
      </c>
      <c r="Q13" s="31" t="n">
        <f aca="false">IF(D13=0,0,הגדרות!$B$7+(D13-1)*הגדרות!$B$8)-הגדרות!$B$15-D13*הגדרות!$B$14</f>
        <v>1807</v>
      </c>
      <c r="R13" s="33" t="str">
        <f aca="false">IF(D13=0,"",IF(B13&gt;=D13,"✅ עמדנו ביעד","⏳ חסרים "&amp;(D13-B13)))</f>
        <v>⏳ חסרים 5</v>
      </c>
    </row>
    <row r="14" customFormat="false" ht="15" hidden="false" customHeight="false" outlineLevel="0" collapsed="false">
      <c r="A14" s="34" t="n">
        <v>46569</v>
      </c>
      <c r="B14" s="35" t="n">
        <f aca="false">COUNTIFS(לקוחות!$G$5:$G$40,"&lt;&gt;ליד",לקוחות!$H$5:$H$40,"&lt;="&amp;EOMONTH($A14,0))-COUNTIFS(לקוחות!$G$5:$G$40,"&lt;&gt;ליד",לקוחות!$I$5:$I$40,"&lt;"&amp;$A14)</f>
        <v>1</v>
      </c>
      <c r="C14" s="35" t="n">
        <f aca="false">COUNTIFS(לקוחות!$G$5:$G$40,"&lt;&gt;ליד",לקוחות!$H$5:$H$40,"&gt;="&amp;$A14,לקוחות!$H$5:$H$40,"&lt;="&amp;EOMONTH($A14,0))</f>
        <v>0</v>
      </c>
      <c r="D14" s="30" t="n">
        <v>7</v>
      </c>
      <c r="E14" s="36" t="n">
        <f aca="false">SUMIFS(לקוחות!$J$5:$J$40,לקוחות!$G$5:$G$40,"&lt;&gt;ליד",לקוחות!$H$5:$H$40,"&lt;="&amp;EOMONTH($A14,0))-SUMIFS(לקוחות!$J$5:$J$40,לקוחות!$G$5:$G$40,"&lt;&gt;ליד",לקוחות!$I$5:$I$40,"&lt;"&amp;$A14)</f>
        <v>500</v>
      </c>
      <c r="F14" s="36" t="n">
        <f aca="false">SUMIFS(לקוחות!$L$5:$L$40,לקוחות!$M$5:$M$40,"&gt;="&amp;$A14,לקוחות!$M$5:$M$40,"&lt;="&amp;EOMONTH($A14,0))+SUMIFS(לקוחות!$N$5:$N$40,לקוחות!$O$5:$O$40,"&gt;="&amp;$A14,לקוחות!$O$5:$O$40,"&lt;="&amp;EOMONTH($A14,0))</f>
        <v>0</v>
      </c>
      <c r="G14" s="36" t="n">
        <f aca="false">E14+F14</f>
        <v>500</v>
      </c>
      <c r="H14" s="36" t="n">
        <f aca="false">SUMPRODUCT((הוצאות!$F$5:$F$30="קבוע")*(הוצאות!$G$5:$G$30&lt;&gt;"בוטל")*(הוצאות!$E$5:$E$30&lt;&gt;"חד-פעמי")*(הוצאות!$H$5:$H$30&lt;=EOMONTH($A14,0))*(((הוצאות!$I$5:$I$30="")+(הוצאות!$I$5:$I$30&gt;=$A14))&gt;0)*הוצאות!$M$5:$M$30)</f>
        <v>162.8</v>
      </c>
      <c r="I14" s="36" t="n">
        <f aca="false">B14*SUMPRODUCT((הוצאות!$F$5:$F$30="לכל לקוח")*(הוצאות!$G$5:$G$30&lt;&gt;"בוטל")*(הוצאות!$E$5:$E$30&lt;&gt;"חד-פעמי")*(הוצאות!$H$5:$H$30&lt;=EOMONTH($A14,0))*(((הוצאות!$I$5:$I$30="")+(הוצאות!$I$5:$I$30&gt;=$A14))&gt;0)*הוצאות!$M$5:$M$30)</f>
        <v>246.7</v>
      </c>
      <c r="J14" s="36" t="n">
        <f aca="false">SUMPRODUCT((הוצאות!$E$5:$E$30="חד-פעמי")*(הוצאות!$G$5:$G$30&lt;&gt;"בוטל")*(הוצאות!$H$5:$H$30&gt;=$A14)*(הוצאות!$H$5:$H$30&lt;=EOMONTH($A14,0))*הוצאות!$L$5:$L$30)</f>
        <v>0</v>
      </c>
      <c r="K14" s="36" t="n">
        <f aca="false">H14+I14+J14</f>
        <v>409.5</v>
      </c>
      <c r="L14" s="36" t="n">
        <f aca="false">G14-K14</f>
        <v>90.5</v>
      </c>
      <c r="M14" s="36" t="n">
        <f aca="false">M13+L14</f>
        <v>1614.7</v>
      </c>
      <c r="N14" s="37" t="n">
        <f aca="false">IF(G14=0,0,L14/G14)</f>
        <v>0.181</v>
      </c>
      <c r="O14" s="36" t="n">
        <f aca="false">SUMPRODUCT((YEAR($A$5:$A$19)=YEAR($A14))*($A$5:$A$19&lt;=$A14)*$G$5:$G$19)</f>
        <v>3500</v>
      </c>
      <c r="P14" s="37" t="n">
        <f aca="false">O14/הגדרות!$B$10</f>
        <v>0.0291666666666667</v>
      </c>
      <c r="Q14" s="36" t="n">
        <f aca="false">IF(D14=0,0,הגדרות!$B$7+(D14-1)*הגדרות!$B$8)-הגדרות!$B$15-D14*הגדרות!$B$14</f>
        <v>2150.3</v>
      </c>
      <c r="R14" s="38" t="str">
        <f aca="false">IF(D14=0,"",IF(B14&gt;=D14,"✅ עמדנו ביעד","⏳ חסרים "&amp;(D14-B14)))</f>
        <v>⏳ חסרים 6</v>
      </c>
    </row>
    <row r="15" customFormat="false" ht="15" hidden="false" customHeight="false" outlineLevel="0" collapsed="false">
      <c r="A15" s="28" t="n">
        <v>46600</v>
      </c>
      <c r="B15" s="29" t="n">
        <f aca="false">COUNTIFS(לקוחות!$G$5:$G$40,"&lt;&gt;ליד",לקוחות!$H$5:$H$40,"&lt;="&amp;EOMONTH($A15,0))-COUNTIFS(לקוחות!$G$5:$G$40,"&lt;&gt;ליד",לקוחות!$I$5:$I$40,"&lt;"&amp;$A15)</f>
        <v>1</v>
      </c>
      <c r="C15" s="29" t="n">
        <f aca="false">COUNTIFS(לקוחות!$G$5:$G$40,"&lt;&gt;ליד",לקוחות!$H$5:$H$40,"&gt;="&amp;$A15,לקוחות!$H$5:$H$40,"&lt;="&amp;EOMONTH($A15,0))</f>
        <v>0</v>
      </c>
      <c r="D15" s="30" t="n">
        <v>7</v>
      </c>
      <c r="E15" s="31" t="n">
        <f aca="false">SUMIFS(לקוחות!$J$5:$J$40,לקוחות!$G$5:$G$40,"&lt;&gt;ליד",לקוחות!$H$5:$H$40,"&lt;="&amp;EOMONTH($A15,0))-SUMIFS(לקוחות!$J$5:$J$40,לקוחות!$G$5:$G$40,"&lt;&gt;ליד",לקוחות!$I$5:$I$40,"&lt;"&amp;$A15)</f>
        <v>500</v>
      </c>
      <c r="F15" s="31" t="n">
        <f aca="false">SUMIFS(לקוחות!$L$5:$L$40,לקוחות!$M$5:$M$40,"&gt;="&amp;$A15,לקוחות!$M$5:$M$40,"&lt;="&amp;EOMONTH($A15,0))+SUMIFS(לקוחות!$N$5:$N$40,לקוחות!$O$5:$O$40,"&gt;="&amp;$A15,לקוחות!$O$5:$O$40,"&lt;="&amp;EOMONTH($A15,0))</f>
        <v>0</v>
      </c>
      <c r="G15" s="31" t="n">
        <f aca="false">E15+F15</f>
        <v>500</v>
      </c>
      <c r="H15" s="31" t="n">
        <f aca="false">SUMPRODUCT((הוצאות!$F$5:$F$30="קבוע")*(הוצאות!$G$5:$G$30&lt;&gt;"בוטל")*(הוצאות!$E$5:$E$30&lt;&gt;"חד-פעמי")*(הוצאות!$H$5:$H$30&lt;=EOMONTH($A15,0))*(((הוצאות!$I$5:$I$30="")+(הוצאות!$I$5:$I$30&gt;=$A15))&gt;0)*הוצאות!$M$5:$M$30)</f>
        <v>162.8</v>
      </c>
      <c r="I15" s="31" t="n">
        <f aca="false">B15*SUMPRODUCT((הוצאות!$F$5:$F$30="לכל לקוח")*(הוצאות!$G$5:$G$30&lt;&gt;"בוטל")*(הוצאות!$E$5:$E$30&lt;&gt;"חד-פעמי")*(הוצאות!$H$5:$H$30&lt;=EOMONTH($A15,0))*(((הוצאות!$I$5:$I$30="")+(הוצאות!$I$5:$I$30&gt;=$A15))&gt;0)*הוצאות!$M$5:$M$30)</f>
        <v>246.7</v>
      </c>
      <c r="J15" s="31" t="n">
        <f aca="false">SUMPRODUCT((הוצאות!$E$5:$E$30="חד-פעמי")*(הוצאות!$G$5:$G$30&lt;&gt;"בוטל")*(הוצאות!$H$5:$H$30&gt;=$A15)*(הוצאות!$H$5:$H$30&lt;=EOMONTH($A15,0))*הוצאות!$L$5:$L$30)</f>
        <v>0</v>
      </c>
      <c r="K15" s="31" t="n">
        <f aca="false">H15+I15+J15</f>
        <v>409.5</v>
      </c>
      <c r="L15" s="31" t="n">
        <f aca="false">G15-K15</f>
        <v>90.5</v>
      </c>
      <c r="M15" s="31" t="n">
        <f aca="false">M14+L15</f>
        <v>1705.2</v>
      </c>
      <c r="N15" s="32" t="n">
        <f aca="false">IF(G15=0,0,L15/G15)</f>
        <v>0.181</v>
      </c>
      <c r="O15" s="31" t="n">
        <f aca="false">SUMPRODUCT((YEAR($A$5:$A$19)=YEAR($A15))*($A$5:$A$19&lt;=$A15)*$G$5:$G$19)</f>
        <v>4000</v>
      </c>
      <c r="P15" s="32" t="n">
        <f aca="false">O15/הגדרות!$B$10</f>
        <v>0.0333333333333333</v>
      </c>
      <c r="Q15" s="31" t="n">
        <f aca="false">IF(D15=0,0,הגדרות!$B$7+(D15-1)*הגדרות!$B$8)-הגדרות!$B$15-D15*הגדרות!$B$14</f>
        <v>2150.3</v>
      </c>
      <c r="R15" s="33" t="str">
        <f aca="false">IF(D15=0,"",IF(B15&gt;=D15,"✅ עמדנו ביעד","⏳ חסרים "&amp;(D15-B15)))</f>
        <v>⏳ חסרים 6</v>
      </c>
    </row>
    <row r="16" customFormat="false" ht="15" hidden="false" customHeight="false" outlineLevel="0" collapsed="false">
      <c r="A16" s="34" t="n">
        <v>46631</v>
      </c>
      <c r="B16" s="35" t="n">
        <f aca="false">COUNTIFS(לקוחות!$G$5:$G$40,"&lt;&gt;ליד",לקוחות!$H$5:$H$40,"&lt;="&amp;EOMONTH($A16,0))-COUNTIFS(לקוחות!$G$5:$G$40,"&lt;&gt;ליד",לקוחות!$I$5:$I$40,"&lt;"&amp;$A16)</f>
        <v>1</v>
      </c>
      <c r="C16" s="35" t="n">
        <f aca="false">COUNTIFS(לקוחות!$G$5:$G$40,"&lt;&gt;ליד",לקוחות!$H$5:$H$40,"&gt;="&amp;$A16,לקוחות!$H$5:$H$40,"&lt;="&amp;EOMONTH($A16,0))</f>
        <v>0</v>
      </c>
      <c r="D16" s="30" t="n">
        <v>8</v>
      </c>
      <c r="E16" s="36" t="n">
        <f aca="false">SUMIFS(לקוחות!$J$5:$J$40,לקוחות!$G$5:$G$40,"&lt;&gt;ליד",לקוחות!$H$5:$H$40,"&lt;="&amp;EOMONTH($A16,0))-SUMIFS(לקוחות!$J$5:$J$40,לקוחות!$G$5:$G$40,"&lt;&gt;ליד",לקוחות!$I$5:$I$40,"&lt;"&amp;$A16)</f>
        <v>500</v>
      </c>
      <c r="F16" s="36" t="n">
        <f aca="false">SUMIFS(לקוחות!$L$5:$L$40,לקוחות!$M$5:$M$40,"&gt;="&amp;$A16,לקוחות!$M$5:$M$40,"&lt;="&amp;EOMONTH($A16,0))+SUMIFS(לקוחות!$N$5:$N$40,לקוחות!$O$5:$O$40,"&gt;="&amp;$A16,לקוחות!$O$5:$O$40,"&lt;="&amp;EOMONTH($A16,0))</f>
        <v>0</v>
      </c>
      <c r="G16" s="36" t="n">
        <f aca="false">E16+F16</f>
        <v>500</v>
      </c>
      <c r="H16" s="36" t="n">
        <f aca="false">SUMPRODUCT((הוצאות!$F$5:$F$30="קבוע")*(הוצאות!$G$5:$G$30&lt;&gt;"בוטל")*(הוצאות!$E$5:$E$30&lt;&gt;"חד-פעמי")*(הוצאות!$H$5:$H$30&lt;=EOMONTH($A16,0))*(((הוצאות!$I$5:$I$30="")+(הוצאות!$I$5:$I$30&gt;=$A16))&gt;0)*הוצאות!$M$5:$M$30)</f>
        <v>162.8</v>
      </c>
      <c r="I16" s="36" t="n">
        <f aca="false">B16*SUMPRODUCT((הוצאות!$F$5:$F$30="לכל לקוח")*(הוצאות!$G$5:$G$30&lt;&gt;"בוטל")*(הוצאות!$E$5:$E$30&lt;&gt;"חד-פעמי")*(הוצאות!$H$5:$H$30&lt;=EOMONTH($A16,0))*(((הוצאות!$I$5:$I$30="")+(הוצאות!$I$5:$I$30&gt;=$A16))&gt;0)*הוצאות!$M$5:$M$30)</f>
        <v>246.7</v>
      </c>
      <c r="J16" s="36" t="n">
        <f aca="false">SUMPRODUCT((הוצאות!$E$5:$E$30="חד-פעמי")*(הוצאות!$G$5:$G$30&lt;&gt;"בוטל")*(הוצאות!$H$5:$H$30&gt;=$A16)*(הוצאות!$H$5:$H$30&lt;=EOMONTH($A16,0))*הוצאות!$L$5:$L$30)</f>
        <v>0</v>
      </c>
      <c r="K16" s="36" t="n">
        <f aca="false">H16+I16+J16</f>
        <v>409.5</v>
      </c>
      <c r="L16" s="36" t="n">
        <f aca="false">G16-K16</f>
        <v>90.5</v>
      </c>
      <c r="M16" s="36" t="n">
        <f aca="false">M15+L16</f>
        <v>1795.7</v>
      </c>
      <c r="N16" s="37" t="n">
        <f aca="false">IF(G16=0,0,L16/G16)</f>
        <v>0.181</v>
      </c>
      <c r="O16" s="36" t="n">
        <f aca="false">SUMPRODUCT((YEAR($A$5:$A$19)=YEAR($A16))*($A$5:$A$19&lt;=$A16)*$G$5:$G$19)</f>
        <v>4500</v>
      </c>
      <c r="P16" s="37" t="n">
        <f aca="false">O16/הגדרות!$B$10</f>
        <v>0.0375</v>
      </c>
      <c r="Q16" s="36" t="n">
        <f aca="false">IF(D16=0,0,הגדרות!$B$7+(D16-1)*הגדרות!$B$8)-הגדרות!$B$15-D16*הגדרות!$B$14</f>
        <v>2493.6</v>
      </c>
      <c r="R16" s="38" t="str">
        <f aca="false">IF(D16=0,"",IF(B16&gt;=D16,"✅ עמדנו ביעד","⏳ חסרים "&amp;(D16-B16)))</f>
        <v>⏳ חסרים 7</v>
      </c>
    </row>
    <row r="17" customFormat="false" ht="15" hidden="false" customHeight="false" outlineLevel="0" collapsed="false">
      <c r="A17" s="28" t="n">
        <v>46661</v>
      </c>
      <c r="B17" s="29" t="n">
        <f aca="false">COUNTIFS(לקוחות!$G$5:$G$40,"&lt;&gt;ליד",לקוחות!$H$5:$H$40,"&lt;="&amp;EOMONTH($A17,0))-COUNTIFS(לקוחות!$G$5:$G$40,"&lt;&gt;ליד",לקוחות!$I$5:$I$40,"&lt;"&amp;$A17)</f>
        <v>1</v>
      </c>
      <c r="C17" s="29" t="n">
        <f aca="false">COUNTIFS(לקוחות!$G$5:$G$40,"&lt;&gt;ליד",לקוחות!$H$5:$H$40,"&gt;="&amp;$A17,לקוחות!$H$5:$H$40,"&lt;="&amp;EOMONTH($A17,0))</f>
        <v>0</v>
      </c>
      <c r="D17" s="30" t="n">
        <v>9</v>
      </c>
      <c r="E17" s="31" t="n">
        <f aca="false">SUMIFS(לקוחות!$J$5:$J$40,לקוחות!$G$5:$G$40,"&lt;&gt;ליד",לקוחות!$H$5:$H$40,"&lt;="&amp;EOMONTH($A17,0))-SUMIFS(לקוחות!$J$5:$J$40,לקוחות!$G$5:$G$40,"&lt;&gt;ליד",לקוחות!$I$5:$I$40,"&lt;"&amp;$A17)</f>
        <v>500</v>
      </c>
      <c r="F17" s="31" t="n">
        <f aca="false">SUMIFS(לקוחות!$L$5:$L$40,לקוחות!$M$5:$M$40,"&gt;="&amp;$A17,לקוחות!$M$5:$M$40,"&lt;="&amp;EOMONTH($A17,0))+SUMIFS(לקוחות!$N$5:$N$40,לקוחות!$O$5:$O$40,"&gt;="&amp;$A17,לקוחות!$O$5:$O$40,"&lt;="&amp;EOMONTH($A17,0))</f>
        <v>0</v>
      </c>
      <c r="G17" s="31" t="n">
        <f aca="false">E17+F17</f>
        <v>500</v>
      </c>
      <c r="H17" s="31" t="n">
        <f aca="false">SUMPRODUCT((הוצאות!$F$5:$F$30="קבוע")*(הוצאות!$G$5:$G$30&lt;&gt;"בוטל")*(הוצאות!$E$5:$E$30&lt;&gt;"חד-פעמי")*(הוצאות!$H$5:$H$30&lt;=EOMONTH($A17,0))*(((הוצאות!$I$5:$I$30="")+(הוצאות!$I$5:$I$30&gt;=$A17))&gt;0)*הוצאות!$M$5:$M$30)</f>
        <v>162.8</v>
      </c>
      <c r="I17" s="31" t="n">
        <f aca="false">B17*SUMPRODUCT((הוצאות!$F$5:$F$30="לכל לקוח")*(הוצאות!$G$5:$G$30&lt;&gt;"בוטל")*(הוצאות!$E$5:$E$30&lt;&gt;"חד-פעמי")*(הוצאות!$H$5:$H$30&lt;=EOMONTH($A17,0))*(((הוצאות!$I$5:$I$30="")+(הוצאות!$I$5:$I$30&gt;=$A17))&gt;0)*הוצאות!$M$5:$M$30)</f>
        <v>246.7</v>
      </c>
      <c r="J17" s="31" t="n">
        <f aca="false">SUMPRODUCT((הוצאות!$E$5:$E$30="חד-פעמי")*(הוצאות!$G$5:$G$30&lt;&gt;"בוטל")*(הוצאות!$H$5:$H$30&gt;=$A17)*(הוצאות!$H$5:$H$30&lt;=EOMONTH($A17,0))*הוצאות!$L$5:$L$30)</f>
        <v>0</v>
      </c>
      <c r="K17" s="31" t="n">
        <f aca="false">H17+I17+J17</f>
        <v>409.5</v>
      </c>
      <c r="L17" s="31" t="n">
        <f aca="false">G17-K17</f>
        <v>90.5</v>
      </c>
      <c r="M17" s="31" t="n">
        <f aca="false">M16+L17</f>
        <v>1886.2</v>
      </c>
      <c r="N17" s="32" t="n">
        <f aca="false">IF(G17=0,0,L17/G17)</f>
        <v>0.181</v>
      </c>
      <c r="O17" s="31" t="n">
        <f aca="false">SUMPRODUCT((YEAR($A$5:$A$19)=YEAR($A17))*($A$5:$A$19&lt;=$A17)*$G$5:$G$19)</f>
        <v>5000</v>
      </c>
      <c r="P17" s="32" t="n">
        <f aca="false">O17/הגדרות!$B$10</f>
        <v>0.0416666666666667</v>
      </c>
      <c r="Q17" s="31" t="n">
        <f aca="false">IF(D17=0,0,הגדרות!$B$7+(D17-1)*הגדרות!$B$8)-הגדרות!$B$15-D17*הגדרות!$B$14</f>
        <v>2836.9</v>
      </c>
      <c r="R17" s="33" t="str">
        <f aca="false">IF(D17=0,"",IF(B17&gt;=D17,"✅ עמדנו ביעד","⏳ חסרים "&amp;(D17-B17)))</f>
        <v>⏳ חסרים 8</v>
      </c>
    </row>
    <row r="18" customFormat="false" ht="15" hidden="false" customHeight="false" outlineLevel="0" collapsed="false">
      <c r="A18" s="34" t="n">
        <v>46692</v>
      </c>
      <c r="B18" s="35" t="n">
        <f aca="false">COUNTIFS(לקוחות!$G$5:$G$40,"&lt;&gt;ליד",לקוחות!$H$5:$H$40,"&lt;="&amp;EOMONTH($A18,0))-COUNTIFS(לקוחות!$G$5:$G$40,"&lt;&gt;ליד",לקוחות!$I$5:$I$40,"&lt;"&amp;$A18)</f>
        <v>1</v>
      </c>
      <c r="C18" s="35" t="n">
        <f aca="false">COUNTIFS(לקוחות!$G$5:$G$40,"&lt;&gt;ליד",לקוחות!$H$5:$H$40,"&gt;="&amp;$A18,לקוחות!$H$5:$H$40,"&lt;="&amp;EOMONTH($A18,0))</f>
        <v>0</v>
      </c>
      <c r="D18" s="30" t="n">
        <v>9</v>
      </c>
      <c r="E18" s="36" t="n">
        <f aca="false">SUMIFS(לקוחות!$J$5:$J$40,לקוחות!$G$5:$G$40,"&lt;&gt;ליד",לקוחות!$H$5:$H$40,"&lt;="&amp;EOMONTH($A18,0))-SUMIFS(לקוחות!$J$5:$J$40,לקוחות!$G$5:$G$40,"&lt;&gt;ליד",לקוחות!$I$5:$I$40,"&lt;"&amp;$A18)</f>
        <v>500</v>
      </c>
      <c r="F18" s="36" t="n">
        <f aca="false">SUMIFS(לקוחות!$L$5:$L$40,לקוחות!$M$5:$M$40,"&gt;="&amp;$A18,לקוחות!$M$5:$M$40,"&lt;="&amp;EOMONTH($A18,0))+SUMIFS(לקוחות!$N$5:$N$40,לקוחות!$O$5:$O$40,"&gt;="&amp;$A18,לקוחות!$O$5:$O$40,"&lt;="&amp;EOMONTH($A18,0))</f>
        <v>0</v>
      </c>
      <c r="G18" s="36" t="n">
        <f aca="false">E18+F18</f>
        <v>500</v>
      </c>
      <c r="H18" s="36" t="n">
        <f aca="false">SUMPRODUCT((הוצאות!$F$5:$F$30="קבוע")*(הוצאות!$G$5:$G$30&lt;&gt;"בוטל")*(הוצאות!$E$5:$E$30&lt;&gt;"חד-פעמי")*(הוצאות!$H$5:$H$30&lt;=EOMONTH($A18,0))*(((הוצאות!$I$5:$I$30="")+(הוצאות!$I$5:$I$30&gt;=$A18))&gt;0)*הוצאות!$M$5:$M$30)</f>
        <v>162.8</v>
      </c>
      <c r="I18" s="36" t="n">
        <f aca="false">B18*SUMPRODUCT((הוצאות!$F$5:$F$30="לכל לקוח")*(הוצאות!$G$5:$G$30&lt;&gt;"בוטל")*(הוצאות!$E$5:$E$30&lt;&gt;"חד-פעמי")*(הוצאות!$H$5:$H$30&lt;=EOMONTH($A18,0))*(((הוצאות!$I$5:$I$30="")+(הוצאות!$I$5:$I$30&gt;=$A18))&gt;0)*הוצאות!$M$5:$M$30)</f>
        <v>246.7</v>
      </c>
      <c r="J18" s="36" t="n">
        <f aca="false">SUMPRODUCT((הוצאות!$E$5:$E$30="חד-פעמי")*(הוצאות!$G$5:$G$30&lt;&gt;"בוטל")*(הוצאות!$H$5:$H$30&gt;=$A18)*(הוצאות!$H$5:$H$30&lt;=EOMONTH($A18,0))*הוצאות!$L$5:$L$30)</f>
        <v>0</v>
      </c>
      <c r="K18" s="36" t="n">
        <f aca="false">H18+I18+J18</f>
        <v>409.5</v>
      </c>
      <c r="L18" s="36" t="n">
        <f aca="false">G18-K18</f>
        <v>90.5</v>
      </c>
      <c r="M18" s="36" t="n">
        <f aca="false">M17+L18</f>
        <v>1976.7</v>
      </c>
      <c r="N18" s="37" t="n">
        <f aca="false">IF(G18=0,0,L18/G18)</f>
        <v>0.181</v>
      </c>
      <c r="O18" s="36" t="n">
        <f aca="false">SUMPRODUCT((YEAR($A$5:$A$19)=YEAR($A18))*($A$5:$A$19&lt;=$A18)*$G$5:$G$19)</f>
        <v>5500</v>
      </c>
      <c r="P18" s="37" t="n">
        <f aca="false">O18/הגדרות!$B$10</f>
        <v>0.0458333333333333</v>
      </c>
      <c r="Q18" s="36" t="n">
        <f aca="false">IF(D18=0,0,הגדרות!$B$7+(D18-1)*הגדרות!$B$8)-הגדרות!$B$15-D18*הגדרות!$B$14</f>
        <v>2836.9</v>
      </c>
      <c r="R18" s="38" t="str">
        <f aca="false">IF(D18=0,"",IF(B18&gt;=D18,"✅ עמדנו ביעד","⏳ חסרים "&amp;(D18-B18)))</f>
        <v>⏳ חסרים 8</v>
      </c>
    </row>
    <row r="19" customFormat="false" ht="15" hidden="false" customHeight="false" outlineLevel="0" collapsed="false">
      <c r="A19" s="28" t="n">
        <v>46722</v>
      </c>
      <c r="B19" s="29" t="n">
        <f aca="false">COUNTIFS(לקוחות!$G$5:$G$40,"&lt;&gt;ליד",לקוחות!$H$5:$H$40,"&lt;="&amp;EOMONTH($A19,0))-COUNTIFS(לקוחות!$G$5:$G$40,"&lt;&gt;ליד",לקוחות!$I$5:$I$40,"&lt;"&amp;$A19)</f>
        <v>1</v>
      </c>
      <c r="C19" s="29" t="n">
        <f aca="false">COUNTIFS(לקוחות!$G$5:$G$40,"&lt;&gt;ליד",לקוחות!$H$5:$H$40,"&gt;="&amp;$A19,לקוחות!$H$5:$H$40,"&lt;="&amp;EOMONTH($A19,0))</f>
        <v>0</v>
      </c>
      <c r="D19" s="30" t="n">
        <v>10</v>
      </c>
      <c r="E19" s="31" t="n">
        <f aca="false">SUMIFS(לקוחות!$J$5:$J$40,לקוחות!$G$5:$G$40,"&lt;&gt;ליד",לקוחות!$H$5:$H$40,"&lt;="&amp;EOMONTH($A19,0))-SUMIFS(לקוחות!$J$5:$J$40,לקוחות!$G$5:$G$40,"&lt;&gt;ליד",לקוחות!$I$5:$I$40,"&lt;"&amp;$A19)</f>
        <v>500</v>
      </c>
      <c r="F19" s="31" t="n">
        <f aca="false">SUMIFS(לקוחות!$L$5:$L$40,לקוחות!$M$5:$M$40,"&gt;="&amp;$A19,לקוחות!$M$5:$M$40,"&lt;="&amp;EOMONTH($A19,0))+SUMIFS(לקוחות!$N$5:$N$40,לקוחות!$O$5:$O$40,"&gt;="&amp;$A19,לקוחות!$O$5:$O$40,"&lt;="&amp;EOMONTH($A19,0))</f>
        <v>0</v>
      </c>
      <c r="G19" s="31" t="n">
        <f aca="false">E19+F19</f>
        <v>500</v>
      </c>
      <c r="H19" s="31" t="n">
        <f aca="false">SUMPRODUCT((הוצאות!$F$5:$F$30="קבוע")*(הוצאות!$G$5:$G$30&lt;&gt;"בוטל")*(הוצאות!$E$5:$E$30&lt;&gt;"חד-פעמי")*(הוצאות!$H$5:$H$30&lt;=EOMONTH($A19,0))*(((הוצאות!$I$5:$I$30="")+(הוצאות!$I$5:$I$30&gt;=$A19))&gt;0)*הוצאות!$M$5:$M$30)</f>
        <v>162.8</v>
      </c>
      <c r="I19" s="31" t="n">
        <f aca="false">B19*SUMPRODUCT((הוצאות!$F$5:$F$30="לכל לקוח")*(הוצאות!$G$5:$G$30&lt;&gt;"בוטל")*(הוצאות!$E$5:$E$30&lt;&gt;"חד-פעמי")*(הוצאות!$H$5:$H$30&lt;=EOMONTH($A19,0))*(((הוצאות!$I$5:$I$30="")+(הוצאות!$I$5:$I$30&gt;=$A19))&gt;0)*הוצאות!$M$5:$M$30)</f>
        <v>246.7</v>
      </c>
      <c r="J19" s="31" t="n">
        <f aca="false">SUMPRODUCT((הוצאות!$E$5:$E$30="חד-פעמי")*(הוצאות!$G$5:$G$30&lt;&gt;"בוטל")*(הוצאות!$H$5:$H$30&gt;=$A19)*(הוצאות!$H$5:$H$30&lt;=EOMONTH($A19,0))*הוצאות!$L$5:$L$30)</f>
        <v>0</v>
      </c>
      <c r="K19" s="31" t="n">
        <f aca="false">H19+I19+J19</f>
        <v>409.5</v>
      </c>
      <c r="L19" s="31" t="n">
        <f aca="false">G19-K19</f>
        <v>90.5</v>
      </c>
      <c r="M19" s="31" t="n">
        <f aca="false">M18+L19</f>
        <v>2067.2</v>
      </c>
      <c r="N19" s="32" t="n">
        <f aca="false">IF(G19=0,0,L19/G19)</f>
        <v>0.181</v>
      </c>
      <c r="O19" s="31" t="n">
        <f aca="false">SUMPRODUCT((YEAR($A$5:$A$19)=YEAR($A19))*($A$5:$A$19&lt;=$A19)*$G$5:$G$19)</f>
        <v>6000</v>
      </c>
      <c r="P19" s="32" t="n">
        <f aca="false">O19/הגדרות!$B$10</f>
        <v>0.05</v>
      </c>
      <c r="Q19" s="31" t="n">
        <f aca="false">IF(D19=0,0,הגדרות!$B$7+(D19-1)*הגדרות!$B$8)-הגדרות!$B$15-D19*הגדרות!$B$14</f>
        <v>3180.2</v>
      </c>
      <c r="R19" s="33" t="str">
        <f aca="false">IF(D19=0,"",IF(B19&gt;=D19,"✅ עמדנו ביעד","⏳ חסרים "&amp;(D19-B19)))</f>
        <v>⏳ חסרים 9</v>
      </c>
    </row>
    <row r="20" customFormat="false" ht="15" hidden="false" customHeight="false" outlineLevel="0" collapsed="false">
      <c r="A20" s="39" t="s">
        <v>43</v>
      </c>
      <c r="B20" s="40"/>
      <c r="C20" s="40"/>
      <c r="D20" s="40"/>
      <c r="E20" s="41" t="n">
        <f aca="false">SUM(E5:E19)</f>
        <v>7000</v>
      </c>
      <c r="F20" s="41" t="n">
        <f aca="false">SUM(F5:F19)</f>
        <v>1000</v>
      </c>
      <c r="G20" s="41" t="n">
        <f aca="false">SUM(G5:G19)</f>
        <v>8000</v>
      </c>
      <c r="H20" s="41" t="n">
        <f aca="false">SUM(H5:H19)</f>
        <v>2442</v>
      </c>
      <c r="I20" s="41" t="n">
        <f aca="false">SUM(I5:I19)</f>
        <v>3453.8</v>
      </c>
      <c r="J20" s="41" t="n">
        <f aca="false">SUM(J5:J19)</f>
        <v>37</v>
      </c>
      <c r="K20" s="41" t="n">
        <f aca="false">SUM(K5:K19)</f>
        <v>5932.8</v>
      </c>
      <c r="L20" s="41" t="n">
        <f aca="false">SUM(L5:L19)</f>
        <v>2067.2</v>
      </c>
      <c r="M20" s="41"/>
      <c r="N20" s="42"/>
      <c r="O20" s="41"/>
      <c r="P20" s="42"/>
      <c r="Q20" s="41"/>
      <c r="R20" s="40"/>
    </row>
  </sheetData>
  <mergeCells count="2">
    <mergeCell ref="A1:R1"/>
    <mergeCell ref="A2:R2"/>
  </mergeCells>
  <conditionalFormatting sqref="L5:L19">
    <cfRule type="cellIs" priority="2" operator="lessThan" aboveAverage="0" equalAverage="0" bottom="0" percent="0" rank="0" text="" dxfId="1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M5:M19">
    <cfRule type="dataBar" priority="4">
      <dataBar showValue="1" minLength="10" maxLength="90">
        <cfvo type="min" val="0"/>
        <cfvo type="max" val="0"/>
        <color rgb="FF5DADE2"/>
      </dataBar>
      <extLst>
        <ext xmlns:x14="http://schemas.microsoft.com/office/spreadsheetml/2009/9/main" uri="{B025F937-C7B1-47D3-B67F-A62EFF666E3E}">
          <x14:id>{D2E7BBA6-6C88-4CA1-A878-6E32E8F73818}</x14:id>
        </ext>
      </extLst>
    </cfRule>
  </conditionalFormatting>
  <conditionalFormatting sqref="P5:P19">
    <cfRule type="colorScale" priority="5">
      <colorScale>
        <cfvo type="num" val="0"/>
        <cfvo type="num" val="0.75"/>
        <cfvo type="num" val="1"/>
        <color rgb="FFDFF3E6"/>
        <color rgb="FFFCF1D9"/>
        <color rgb="FFF5B7B1"/>
      </colorScale>
    </cfRule>
  </conditionalFormatting>
  <conditionalFormatting sqref="R5:R19">
    <cfRule type="expression" priority="6" aboveAverage="0" equalAverage="0" bottom="0" percent="0" rank="0" text="" dxfId="2">
      <formula>LEFT(R5,1)="✅"</formula>
    </cfRule>
    <cfRule type="expression" priority="7" aboveAverage="0" equalAverage="0" bottom="0" percent="0" rank="0" text="" dxfId="3">
      <formula>LEFT(R5,1)="⏳"</formula>
    </cfRule>
  </conditionalFormatting>
  <conditionalFormatting sqref="A5:R19">
    <cfRule type="expression" priority="8" aboveAverage="0" equalAverage="0" bottom="0" percent="0" rank="0" text="" dxfId="4">
      <formula>$A5=הגדרות!$B$12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E7BBA6-6C88-4CA1-A878-6E32E8F73818}">
            <x14:dataBar minLength="10" maxLength="90" axisPosition="none" gradient="true">
              <x14:cfvo type="min"/>
              <x14:cfvo type="max"/>
              <x14:negativeFillColor rgb="FF5DADE2"/>
              <x14:axisColor rgb="FF000000"/>
            </x14:dataBar>
          </x14:cfRule>
          <xm:sqref>M5:M19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A1B"/>
    <pageSetUpPr fitToPage="false"/>
  </sheetPr>
  <dimension ref="A1:S4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1" min="10" style="0" width="12"/>
    <col collapsed="false" customWidth="true" hidden="false" outlineLevel="0" max="13" min="12" style="0" width="13"/>
    <col collapsed="false" customWidth="true" hidden="false" outlineLevel="0" max="14" min="14" style="0" width="14"/>
    <col collapsed="false" customWidth="true" hidden="false" outlineLevel="0" max="16" min="15" style="0" width="13"/>
    <col collapsed="false" customWidth="true" hidden="false" outlineLevel="0" max="17" min="17" style="0" width="10"/>
    <col collapsed="false" customWidth="true" hidden="false" outlineLevel="0" max="18" min="18" style="0" width="14"/>
    <col collapsed="false" customWidth="true" hidden="false" outlineLevel="0" max="19" min="19" style="0" width="50"/>
  </cols>
  <sheetData>
    <row r="1" customFormat="false" ht="33.7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9.5" hidden="false" customHeight="true" outlineLevel="0" collapsed="false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36" hidden="false" customHeight="true" outlineLevel="0" collapsed="false">
      <c r="A4" s="27" t="s">
        <v>46</v>
      </c>
      <c r="B4" s="27" t="s">
        <v>47</v>
      </c>
      <c r="C4" s="27" t="s">
        <v>48</v>
      </c>
      <c r="D4" s="27" t="s">
        <v>49</v>
      </c>
      <c r="E4" s="27" t="s">
        <v>50</v>
      </c>
      <c r="F4" s="27" t="s">
        <v>51</v>
      </c>
      <c r="G4" s="27" t="s">
        <v>52</v>
      </c>
      <c r="H4" s="27" t="s">
        <v>53</v>
      </c>
      <c r="I4" s="27" t="s">
        <v>54</v>
      </c>
      <c r="J4" s="27" t="s">
        <v>55</v>
      </c>
      <c r="K4" s="27" t="s">
        <v>56</v>
      </c>
      <c r="L4" s="27" t="s">
        <v>57</v>
      </c>
      <c r="M4" s="27" t="s">
        <v>58</v>
      </c>
      <c r="N4" s="27" t="s">
        <v>59</v>
      </c>
      <c r="O4" s="27" t="s">
        <v>60</v>
      </c>
      <c r="P4" s="27" t="s">
        <v>61</v>
      </c>
      <c r="Q4" s="27" t="s">
        <v>62</v>
      </c>
      <c r="R4" s="27" t="s">
        <v>63</v>
      </c>
      <c r="S4" s="27" t="s">
        <v>64</v>
      </c>
    </row>
    <row r="5" customFormat="false" ht="26.85" hidden="false" customHeight="false" outlineLevel="0" collapsed="false">
      <c r="A5" s="33" t="n">
        <v>1</v>
      </c>
      <c r="B5" s="30" t="s">
        <v>65</v>
      </c>
      <c r="C5" s="43" t="s">
        <v>66</v>
      </c>
      <c r="D5" s="30" t="s">
        <v>67</v>
      </c>
      <c r="E5" s="30" t="s">
        <v>68</v>
      </c>
      <c r="F5" s="30" t="s">
        <v>69</v>
      </c>
      <c r="G5" s="30" t="s">
        <v>70</v>
      </c>
      <c r="H5" s="44" t="n">
        <v>46327</v>
      </c>
      <c r="I5" s="44"/>
      <c r="J5" s="45" t="n">
        <v>500</v>
      </c>
      <c r="K5" s="45" t="n">
        <v>2500</v>
      </c>
      <c r="L5" s="45" t="n">
        <v>1000</v>
      </c>
      <c r="M5" s="44" t="n">
        <v>46305</v>
      </c>
      <c r="N5" s="45"/>
      <c r="O5" s="44"/>
      <c r="P5" s="31" t="n">
        <f aca="false">IF(B5="",0,K5-L5-N5)</f>
        <v>1500</v>
      </c>
      <c r="Q5" s="46" t="n">
        <f aca="true">IF(OR(H5="",G5="ליד",H5&gt;TODAY()),0,DATEDIF(H5,IF(I5="",TODAY(),I5),"m")+1)</f>
        <v>0</v>
      </c>
      <c r="R5" s="31" t="n">
        <f aca="false">IF(B5="",0,Q5*J5+L5+N5)</f>
        <v>1000</v>
      </c>
      <c r="S5" s="43" t="s">
        <v>71</v>
      </c>
    </row>
    <row r="6" customFormat="false" ht="15" hidden="false" customHeight="false" outlineLevel="0" collapsed="false">
      <c r="A6" s="38" t="str">
        <f aca="false">IF(B6="","",ROW()-4)</f>
        <v/>
      </c>
      <c r="B6" s="30"/>
      <c r="C6" s="43"/>
      <c r="D6" s="30"/>
      <c r="E6" s="30"/>
      <c r="F6" s="30"/>
      <c r="G6" s="30"/>
      <c r="H6" s="44"/>
      <c r="I6" s="44"/>
      <c r="J6" s="45"/>
      <c r="K6" s="45"/>
      <c r="L6" s="45"/>
      <c r="M6" s="44"/>
      <c r="N6" s="45"/>
      <c r="O6" s="44"/>
      <c r="P6" s="36" t="n">
        <f aca="false">IF(B6="",0,K6-L6-N6)</f>
        <v>0</v>
      </c>
      <c r="Q6" s="47" t="n">
        <f aca="true">IF(OR(H6="",G6="ליד",H6&gt;TODAY()),0,DATEDIF(H6,IF(I6="",TODAY(),I6),"m")+1)</f>
        <v>0</v>
      </c>
      <c r="R6" s="36" t="n">
        <f aca="false">IF(B6="",0,Q6*J6+L6+N6)</f>
        <v>0</v>
      </c>
      <c r="S6" s="43"/>
    </row>
    <row r="7" customFormat="false" ht="15" hidden="false" customHeight="false" outlineLevel="0" collapsed="false">
      <c r="A7" s="33" t="str">
        <f aca="false">IF(B7="","",ROW()-4)</f>
        <v/>
      </c>
      <c r="B7" s="30"/>
      <c r="C7" s="43"/>
      <c r="D7" s="30"/>
      <c r="E7" s="30"/>
      <c r="F7" s="30"/>
      <c r="G7" s="30"/>
      <c r="H7" s="44"/>
      <c r="I7" s="44"/>
      <c r="J7" s="45"/>
      <c r="K7" s="45"/>
      <c r="L7" s="45"/>
      <c r="M7" s="44"/>
      <c r="N7" s="45"/>
      <c r="O7" s="44"/>
      <c r="P7" s="31" t="n">
        <f aca="false">IF(B7="",0,K7-L7-N7)</f>
        <v>0</v>
      </c>
      <c r="Q7" s="46" t="n">
        <f aca="true">IF(OR(H7="",G7="ליד",H7&gt;TODAY()),0,DATEDIF(H7,IF(I7="",TODAY(),I7),"m")+1)</f>
        <v>0</v>
      </c>
      <c r="R7" s="31" t="n">
        <f aca="false">IF(B7="",0,Q7*J7+L7+N7)</f>
        <v>0</v>
      </c>
      <c r="S7" s="43"/>
    </row>
    <row r="8" customFormat="false" ht="15" hidden="false" customHeight="false" outlineLevel="0" collapsed="false">
      <c r="A8" s="38" t="str">
        <f aca="false">IF(B8="","",ROW()-4)</f>
        <v/>
      </c>
      <c r="B8" s="30"/>
      <c r="C8" s="43"/>
      <c r="D8" s="30"/>
      <c r="E8" s="30"/>
      <c r="F8" s="30"/>
      <c r="G8" s="30"/>
      <c r="H8" s="44"/>
      <c r="I8" s="44"/>
      <c r="J8" s="45"/>
      <c r="K8" s="45"/>
      <c r="L8" s="45"/>
      <c r="M8" s="44"/>
      <c r="N8" s="45"/>
      <c r="O8" s="44"/>
      <c r="P8" s="36" t="n">
        <f aca="false">IF(B8="",0,K8-L8-N8)</f>
        <v>0</v>
      </c>
      <c r="Q8" s="47" t="n">
        <f aca="true">IF(OR(H8="",G8="ליד",H8&gt;TODAY()),0,DATEDIF(H8,IF(I8="",TODAY(),I8),"m")+1)</f>
        <v>0</v>
      </c>
      <c r="R8" s="36" t="n">
        <f aca="false">IF(B8="",0,Q8*J8+L8+N8)</f>
        <v>0</v>
      </c>
      <c r="S8" s="43"/>
    </row>
    <row r="9" customFormat="false" ht="15" hidden="false" customHeight="false" outlineLevel="0" collapsed="false">
      <c r="A9" s="33" t="str">
        <f aca="false">IF(B9="","",ROW()-4)</f>
        <v/>
      </c>
      <c r="B9" s="30"/>
      <c r="C9" s="43"/>
      <c r="D9" s="30"/>
      <c r="E9" s="30"/>
      <c r="F9" s="30"/>
      <c r="G9" s="30"/>
      <c r="H9" s="44"/>
      <c r="I9" s="44"/>
      <c r="J9" s="45"/>
      <c r="K9" s="45"/>
      <c r="L9" s="45"/>
      <c r="M9" s="44"/>
      <c r="N9" s="45"/>
      <c r="O9" s="44"/>
      <c r="P9" s="31" t="n">
        <f aca="false">IF(B9="",0,K9-L9-N9)</f>
        <v>0</v>
      </c>
      <c r="Q9" s="46" t="n">
        <f aca="true">IF(OR(H9="",G9="ליד",H9&gt;TODAY()),0,DATEDIF(H9,IF(I9="",TODAY(),I9),"m")+1)</f>
        <v>0</v>
      </c>
      <c r="R9" s="31" t="n">
        <f aca="false">IF(B9="",0,Q9*J9+L9+N9)</f>
        <v>0</v>
      </c>
      <c r="S9" s="43"/>
    </row>
    <row r="10" customFormat="false" ht="15" hidden="false" customHeight="false" outlineLevel="0" collapsed="false">
      <c r="A10" s="38" t="str">
        <f aca="false">IF(B10="","",ROW()-4)</f>
        <v/>
      </c>
      <c r="B10" s="30"/>
      <c r="C10" s="43"/>
      <c r="D10" s="30"/>
      <c r="E10" s="30"/>
      <c r="F10" s="30"/>
      <c r="G10" s="30"/>
      <c r="H10" s="44"/>
      <c r="I10" s="44"/>
      <c r="J10" s="45"/>
      <c r="K10" s="45"/>
      <c r="L10" s="45"/>
      <c r="M10" s="44"/>
      <c r="N10" s="45"/>
      <c r="O10" s="44"/>
      <c r="P10" s="36" t="n">
        <f aca="false">IF(B10="",0,K10-L10-N10)</f>
        <v>0</v>
      </c>
      <c r="Q10" s="47" t="n">
        <f aca="true">IF(OR(H10="",G10="ליד",H10&gt;TODAY()),0,DATEDIF(H10,IF(I10="",TODAY(),I10),"m")+1)</f>
        <v>0</v>
      </c>
      <c r="R10" s="36" t="n">
        <f aca="false">IF(B10="",0,Q10*J10+L10+N10)</f>
        <v>0</v>
      </c>
      <c r="S10" s="43"/>
    </row>
    <row r="11" customFormat="false" ht="15" hidden="false" customHeight="false" outlineLevel="0" collapsed="false">
      <c r="A11" s="33" t="str">
        <f aca="false">IF(B11="","",ROW()-4)</f>
        <v/>
      </c>
      <c r="B11" s="30"/>
      <c r="C11" s="43"/>
      <c r="D11" s="30"/>
      <c r="E11" s="30"/>
      <c r="F11" s="30"/>
      <c r="G11" s="30"/>
      <c r="H11" s="44"/>
      <c r="I11" s="44"/>
      <c r="J11" s="45"/>
      <c r="K11" s="45"/>
      <c r="L11" s="45"/>
      <c r="M11" s="44"/>
      <c r="N11" s="45"/>
      <c r="O11" s="44"/>
      <c r="P11" s="31" t="n">
        <f aca="false">IF(B11="",0,K11-L11-N11)</f>
        <v>0</v>
      </c>
      <c r="Q11" s="46" t="n">
        <f aca="true">IF(OR(H11="",G11="ליד",H11&gt;TODAY()),0,DATEDIF(H11,IF(I11="",TODAY(),I11),"m")+1)</f>
        <v>0</v>
      </c>
      <c r="R11" s="31" t="n">
        <f aca="false">IF(B11="",0,Q11*J11+L11+N11)</f>
        <v>0</v>
      </c>
      <c r="S11" s="43"/>
    </row>
    <row r="12" customFormat="false" ht="15" hidden="false" customHeight="false" outlineLevel="0" collapsed="false">
      <c r="A12" s="38" t="str">
        <f aca="false">IF(B12="","",ROW()-4)</f>
        <v/>
      </c>
      <c r="B12" s="30"/>
      <c r="C12" s="43"/>
      <c r="D12" s="30"/>
      <c r="E12" s="30"/>
      <c r="F12" s="30"/>
      <c r="G12" s="30"/>
      <c r="H12" s="44"/>
      <c r="I12" s="44"/>
      <c r="J12" s="45"/>
      <c r="K12" s="45"/>
      <c r="L12" s="45"/>
      <c r="M12" s="44"/>
      <c r="N12" s="45"/>
      <c r="O12" s="44"/>
      <c r="P12" s="36" t="n">
        <f aca="false">IF(B12="",0,K12-L12-N12)</f>
        <v>0</v>
      </c>
      <c r="Q12" s="47" t="n">
        <f aca="true">IF(OR(H12="",G12="ליד",H12&gt;TODAY()),0,DATEDIF(H12,IF(I12="",TODAY(),I12),"m")+1)</f>
        <v>0</v>
      </c>
      <c r="R12" s="36" t="n">
        <f aca="false">IF(B12="",0,Q12*J12+L12+N12)</f>
        <v>0</v>
      </c>
      <c r="S12" s="43"/>
    </row>
    <row r="13" customFormat="false" ht="15" hidden="false" customHeight="false" outlineLevel="0" collapsed="false">
      <c r="A13" s="33" t="str">
        <f aca="false">IF(B13="","",ROW()-4)</f>
        <v/>
      </c>
      <c r="B13" s="30"/>
      <c r="C13" s="43"/>
      <c r="D13" s="30"/>
      <c r="E13" s="30"/>
      <c r="F13" s="30"/>
      <c r="G13" s="30"/>
      <c r="H13" s="44"/>
      <c r="I13" s="44"/>
      <c r="J13" s="45"/>
      <c r="K13" s="45"/>
      <c r="L13" s="45"/>
      <c r="M13" s="44"/>
      <c r="N13" s="45"/>
      <c r="O13" s="44"/>
      <c r="P13" s="31" t="n">
        <f aca="false">IF(B13="",0,K13-L13-N13)</f>
        <v>0</v>
      </c>
      <c r="Q13" s="46" t="n">
        <f aca="true">IF(OR(H13="",G13="ליד",H13&gt;TODAY()),0,DATEDIF(H13,IF(I13="",TODAY(),I13),"m")+1)</f>
        <v>0</v>
      </c>
      <c r="R13" s="31" t="n">
        <f aca="false">IF(B13="",0,Q13*J13+L13+N13)</f>
        <v>0</v>
      </c>
      <c r="S13" s="43"/>
    </row>
    <row r="14" customFormat="false" ht="15" hidden="false" customHeight="false" outlineLevel="0" collapsed="false">
      <c r="A14" s="38" t="str">
        <f aca="false">IF(B14="","",ROW()-4)</f>
        <v/>
      </c>
      <c r="B14" s="30"/>
      <c r="C14" s="43"/>
      <c r="D14" s="30"/>
      <c r="E14" s="30"/>
      <c r="F14" s="30"/>
      <c r="G14" s="30"/>
      <c r="H14" s="44"/>
      <c r="I14" s="44"/>
      <c r="J14" s="45"/>
      <c r="K14" s="45"/>
      <c r="L14" s="45"/>
      <c r="M14" s="44"/>
      <c r="N14" s="45"/>
      <c r="O14" s="44"/>
      <c r="P14" s="36" t="n">
        <f aca="false">IF(B14="",0,K14-L14-N14)</f>
        <v>0</v>
      </c>
      <c r="Q14" s="47" t="n">
        <f aca="true">IF(OR(H14="",G14="ליד",H14&gt;TODAY()),0,DATEDIF(H14,IF(I14="",TODAY(),I14),"m")+1)</f>
        <v>0</v>
      </c>
      <c r="R14" s="36" t="n">
        <f aca="false">IF(B14="",0,Q14*J14+L14+N14)</f>
        <v>0</v>
      </c>
      <c r="S14" s="43"/>
    </row>
    <row r="15" customFormat="false" ht="15" hidden="false" customHeight="false" outlineLevel="0" collapsed="false">
      <c r="A15" s="33" t="str">
        <f aca="false">IF(B15="","",ROW()-4)</f>
        <v/>
      </c>
      <c r="B15" s="30"/>
      <c r="C15" s="43"/>
      <c r="D15" s="30"/>
      <c r="E15" s="30"/>
      <c r="F15" s="30"/>
      <c r="G15" s="30"/>
      <c r="H15" s="44"/>
      <c r="I15" s="44"/>
      <c r="J15" s="45"/>
      <c r="K15" s="45"/>
      <c r="L15" s="45"/>
      <c r="M15" s="44"/>
      <c r="N15" s="45"/>
      <c r="O15" s="44"/>
      <c r="P15" s="31" t="n">
        <f aca="false">IF(B15="",0,K15-L15-N15)</f>
        <v>0</v>
      </c>
      <c r="Q15" s="46" t="n">
        <f aca="true">IF(OR(H15="",G15="ליד",H15&gt;TODAY()),0,DATEDIF(H15,IF(I15="",TODAY(),I15),"m")+1)</f>
        <v>0</v>
      </c>
      <c r="R15" s="31" t="n">
        <f aca="false">IF(B15="",0,Q15*J15+L15+N15)</f>
        <v>0</v>
      </c>
      <c r="S15" s="43"/>
    </row>
    <row r="16" customFormat="false" ht="15" hidden="false" customHeight="false" outlineLevel="0" collapsed="false">
      <c r="A16" s="38" t="str">
        <f aca="false">IF(B16="","",ROW()-4)</f>
        <v/>
      </c>
      <c r="B16" s="30"/>
      <c r="C16" s="43"/>
      <c r="D16" s="30"/>
      <c r="E16" s="30"/>
      <c r="F16" s="30"/>
      <c r="G16" s="30"/>
      <c r="H16" s="44"/>
      <c r="I16" s="44"/>
      <c r="J16" s="45"/>
      <c r="K16" s="45"/>
      <c r="L16" s="45"/>
      <c r="M16" s="44"/>
      <c r="N16" s="45"/>
      <c r="O16" s="44"/>
      <c r="P16" s="36" t="n">
        <f aca="false">IF(B16="",0,K16-L16-N16)</f>
        <v>0</v>
      </c>
      <c r="Q16" s="47" t="n">
        <f aca="true">IF(OR(H16="",G16="ליד",H16&gt;TODAY()),0,DATEDIF(H16,IF(I16="",TODAY(),I16),"m")+1)</f>
        <v>0</v>
      </c>
      <c r="R16" s="36" t="n">
        <f aca="false">IF(B16="",0,Q16*J16+L16+N16)</f>
        <v>0</v>
      </c>
      <c r="S16" s="43"/>
    </row>
    <row r="17" customFormat="false" ht="15" hidden="false" customHeight="false" outlineLevel="0" collapsed="false">
      <c r="A17" s="33" t="str">
        <f aca="false">IF(B17="","",ROW()-4)</f>
        <v/>
      </c>
      <c r="B17" s="30"/>
      <c r="C17" s="43"/>
      <c r="D17" s="30"/>
      <c r="E17" s="30"/>
      <c r="F17" s="30"/>
      <c r="G17" s="30"/>
      <c r="H17" s="44"/>
      <c r="I17" s="44"/>
      <c r="J17" s="45"/>
      <c r="K17" s="45"/>
      <c r="L17" s="45"/>
      <c r="M17" s="44"/>
      <c r="N17" s="45"/>
      <c r="O17" s="44"/>
      <c r="P17" s="31" t="n">
        <f aca="false">IF(B17="",0,K17-L17-N17)</f>
        <v>0</v>
      </c>
      <c r="Q17" s="46" t="n">
        <f aca="true">IF(OR(H17="",G17="ליד",H17&gt;TODAY()),0,DATEDIF(H17,IF(I17="",TODAY(),I17),"m")+1)</f>
        <v>0</v>
      </c>
      <c r="R17" s="31" t="n">
        <f aca="false">IF(B17="",0,Q17*J17+L17+N17)</f>
        <v>0</v>
      </c>
      <c r="S17" s="43"/>
    </row>
    <row r="18" customFormat="false" ht="15" hidden="false" customHeight="false" outlineLevel="0" collapsed="false">
      <c r="A18" s="38" t="str">
        <f aca="false">IF(B18="","",ROW()-4)</f>
        <v/>
      </c>
      <c r="B18" s="30"/>
      <c r="C18" s="43"/>
      <c r="D18" s="30"/>
      <c r="E18" s="30"/>
      <c r="F18" s="30"/>
      <c r="G18" s="30"/>
      <c r="H18" s="44"/>
      <c r="I18" s="44"/>
      <c r="J18" s="45"/>
      <c r="K18" s="45"/>
      <c r="L18" s="45"/>
      <c r="M18" s="44"/>
      <c r="N18" s="45"/>
      <c r="O18" s="44"/>
      <c r="P18" s="36" t="n">
        <f aca="false">IF(B18="",0,K18-L18-N18)</f>
        <v>0</v>
      </c>
      <c r="Q18" s="47" t="n">
        <f aca="true">IF(OR(H18="",G18="ליד",H18&gt;TODAY()),0,DATEDIF(H18,IF(I18="",TODAY(),I18),"m")+1)</f>
        <v>0</v>
      </c>
      <c r="R18" s="36" t="n">
        <f aca="false">IF(B18="",0,Q18*J18+L18+N18)</f>
        <v>0</v>
      </c>
      <c r="S18" s="43"/>
    </row>
    <row r="19" customFormat="false" ht="15" hidden="false" customHeight="false" outlineLevel="0" collapsed="false">
      <c r="A19" s="33" t="str">
        <f aca="false">IF(B19="","",ROW()-4)</f>
        <v/>
      </c>
      <c r="B19" s="30"/>
      <c r="C19" s="43"/>
      <c r="D19" s="30"/>
      <c r="E19" s="30"/>
      <c r="F19" s="30"/>
      <c r="G19" s="30"/>
      <c r="H19" s="44"/>
      <c r="I19" s="44"/>
      <c r="J19" s="45"/>
      <c r="K19" s="45"/>
      <c r="L19" s="45"/>
      <c r="M19" s="44"/>
      <c r="N19" s="45"/>
      <c r="O19" s="44"/>
      <c r="P19" s="31" t="n">
        <f aca="false">IF(B19="",0,K19-L19-N19)</f>
        <v>0</v>
      </c>
      <c r="Q19" s="46" t="n">
        <f aca="true">IF(OR(H19="",G19="ליד",H19&gt;TODAY()),0,DATEDIF(H19,IF(I19="",TODAY(),I19),"m")+1)</f>
        <v>0</v>
      </c>
      <c r="R19" s="31" t="n">
        <f aca="false">IF(B19="",0,Q19*J19+L19+N19)</f>
        <v>0</v>
      </c>
      <c r="S19" s="43"/>
    </row>
    <row r="20" customFormat="false" ht="15" hidden="false" customHeight="false" outlineLevel="0" collapsed="false">
      <c r="A20" s="38" t="str">
        <f aca="false">IF(B20="","",ROW()-4)</f>
        <v/>
      </c>
      <c r="B20" s="30"/>
      <c r="C20" s="43"/>
      <c r="D20" s="30"/>
      <c r="E20" s="30"/>
      <c r="F20" s="30"/>
      <c r="G20" s="30"/>
      <c r="H20" s="44"/>
      <c r="I20" s="44"/>
      <c r="J20" s="45"/>
      <c r="K20" s="45"/>
      <c r="L20" s="45"/>
      <c r="M20" s="44"/>
      <c r="N20" s="45"/>
      <c r="O20" s="44"/>
      <c r="P20" s="36" t="n">
        <f aca="false">IF(B20="",0,K20-L20-N20)</f>
        <v>0</v>
      </c>
      <c r="Q20" s="47" t="n">
        <f aca="true">IF(OR(H20="",G20="ליד",H20&gt;TODAY()),0,DATEDIF(H20,IF(I20="",TODAY(),I20),"m")+1)</f>
        <v>0</v>
      </c>
      <c r="R20" s="36" t="n">
        <f aca="false">IF(B20="",0,Q20*J20+L20+N20)</f>
        <v>0</v>
      </c>
      <c r="S20" s="43"/>
    </row>
    <row r="21" customFormat="false" ht="15" hidden="false" customHeight="false" outlineLevel="0" collapsed="false">
      <c r="A21" s="33" t="str">
        <f aca="false">IF(B21="","",ROW()-4)</f>
        <v/>
      </c>
      <c r="B21" s="30"/>
      <c r="C21" s="43"/>
      <c r="D21" s="30"/>
      <c r="E21" s="30"/>
      <c r="F21" s="30"/>
      <c r="G21" s="30"/>
      <c r="H21" s="44"/>
      <c r="I21" s="44"/>
      <c r="J21" s="45"/>
      <c r="K21" s="45"/>
      <c r="L21" s="45"/>
      <c r="M21" s="44"/>
      <c r="N21" s="45"/>
      <c r="O21" s="44"/>
      <c r="P21" s="31" t="n">
        <f aca="false">IF(B21="",0,K21-L21-N21)</f>
        <v>0</v>
      </c>
      <c r="Q21" s="46" t="n">
        <f aca="true">IF(OR(H21="",G21="ליד",H21&gt;TODAY()),0,DATEDIF(H21,IF(I21="",TODAY(),I21),"m")+1)</f>
        <v>0</v>
      </c>
      <c r="R21" s="31" t="n">
        <f aca="false">IF(B21="",0,Q21*J21+L21+N21)</f>
        <v>0</v>
      </c>
      <c r="S21" s="43"/>
    </row>
    <row r="22" customFormat="false" ht="15" hidden="false" customHeight="false" outlineLevel="0" collapsed="false">
      <c r="A22" s="38" t="str">
        <f aca="false">IF(B22="","",ROW()-4)</f>
        <v/>
      </c>
      <c r="B22" s="30"/>
      <c r="C22" s="43"/>
      <c r="D22" s="30"/>
      <c r="E22" s="30"/>
      <c r="F22" s="30"/>
      <c r="G22" s="30"/>
      <c r="H22" s="44"/>
      <c r="I22" s="44"/>
      <c r="J22" s="45"/>
      <c r="K22" s="45"/>
      <c r="L22" s="45"/>
      <c r="M22" s="44"/>
      <c r="N22" s="45"/>
      <c r="O22" s="44"/>
      <c r="P22" s="36" t="n">
        <f aca="false">IF(B22="",0,K22-L22-N22)</f>
        <v>0</v>
      </c>
      <c r="Q22" s="47" t="n">
        <f aca="true">IF(OR(H22="",G22="ליד",H22&gt;TODAY()),0,DATEDIF(H22,IF(I22="",TODAY(),I22),"m")+1)</f>
        <v>0</v>
      </c>
      <c r="R22" s="36" t="n">
        <f aca="false">IF(B22="",0,Q22*J22+L22+N22)</f>
        <v>0</v>
      </c>
      <c r="S22" s="43"/>
    </row>
    <row r="23" customFormat="false" ht="15" hidden="false" customHeight="false" outlineLevel="0" collapsed="false">
      <c r="A23" s="33" t="str">
        <f aca="false">IF(B23="","",ROW()-4)</f>
        <v/>
      </c>
      <c r="B23" s="30"/>
      <c r="C23" s="43"/>
      <c r="D23" s="30"/>
      <c r="E23" s="30"/>
      <c r="F23" s="30"/>
      <c r="G23" s="30"/>
      <c r="H23" s="44"/>
      <c r="I23" s="44"/>
      <c r="J23" s="45"/>
      <c r="K23" s="45"/>
      <c r="L23" s="45"/>
      <c r="M23" s="44"/>
      <c r="N23" s="45"/>
      <c r="O23" s="44"/>
      <c r="P23" s="31" t="n">
        <f aca="false">IF(B23="",0,K23-L23-N23)</f>
        <v>0</v>
      </c>
      <c r="Q23" s="46" t="n">
        <f aca="true">IF(OR(H23="",G23="ליד",H23&gt;TODAY()),0,DATEDIF(H23,IF(I23="",TODAY(),I23),"m")+1)</f>
        <v>0</v>
      </c>
      <c r="R23" s="31" t="n">
        <f aca="false">IF(B23="",0,Q23*J23+L23+N23)</f>
        <v>0</v>
      </c>
      <c r="S23" s="43"/>
    </row>
    <row r="24" customFormat="false" ht="15" hidden="false" customHeight="false" outlineLevel="0" collapsed="false">
      <c r="A24" s="38" t="str">
        <f aca="false">IF(B24="","",ROW()-4)</f>
        <v/>
      </c>
      <c r="B24" s="30"/>
      <c r="C24" s="43"/>
      <c r="D24" s="30"/>
      <c r="E24" s="30"/>
      <c r="F24" s="30"/>
      <c r="G24" s="30"/>
      <c r="H24" s="44"/>
      <c r="I24" s="44"/>
      <c r="J24" s="45"/>
      <c r="K24" s="45"/>
      <c r="L24" s="45"/>
      <c r="M24" s="44"/>
      <c r="N24" s="45"/>
      <c r="O24" s="44"/>
      <c r="P24" s="36" t="n">
        <f aca="false">IF(B24="",0,K24-L24-N24)</f>
        <v>0</v>
      </c>
      <c r="Q24" s="47" t="n">
        <f aca="true">IF(OR(H24="",G24="ליד",H24&gt;TODAY()),0,DATEDIF(H24,IF(I24="",TODAY(),I24),"m")+1)</f>
        <v>0</v>
      </c>
      <c r="R24" s="36" t="n">
        <f aca="false">IF(B24="",0,Q24*J24+L24+N24)</f>
        <v>0</v>
      </c>
      <c r="S24" s="43"/>
    </row>
    <row r="25" customFormat="false" ht="15" hidden="false" customHeight="false" outlineLevel="0" collapsed="false">
      <c r="A25" s="33" t="str">
        <f aca="false">IF(B25="","",ROW()-4)</f>
        <v/>
      </c>
      <c r="B25" s="30"/>
      <c r="C25" s="43"/>
      <c r="D25" s="30"/>
      <c r="E25" s="30"/>
      <c r="F25" s="30"/>
      <c r="G25" s="30"/>
      <c r="H25" s="44"/>
      <c r="I25" s="44"/>
      <c r="J25" s="45"/>
      <c r="K25" s="45"/>
      <c r="L25" s="45"/>
      <c r="M25" s="44"/>
      <c r="N25" s="45"/>
      <c r="O25" s="44"/>
      <c r="P25" s="31" t="n">
        <f aca="false">IF(B25="",0,K25-L25-N25)</f>
        <v>0</v>
      </c>
      <c r="Q25" s="46" t="n">
        <f aca="true">IF(OR(H25="",G25="ליד",H25&gt;TODAY()),0,DATEDIF(H25,IF(I25="",TODAY(),I25),"m")+1)</f>
        <v>0</v>
      </c>
      <c r="R25" s="31" t="n">
        <f aca="false">IF(B25="",0,Q25*J25+L25+N25)</f>
        <v>0</v>
      </c>
      <c r="S25" s="43"/>
    </row>
    <row r="26" customFormat="false" ht="15" hidden="false" customHeight="false" outlineLevel="0" collapsed="false">
      <c r="A26" s="38" t="str">
        <f aca="false">IF(B26="","",ROW()-4)</f>
        <v/>
      </c>
      <c r="B26" s="30"/>
      <c r="C26" s="43"/>
      <c r="D26" s="30"/>
      <c r="E26" s="30"/>
      <c r="F26" s="30"/>
      <c r="G26" s="30"/>
      <c r="H26" s="44"/>
      <c r="I26" s="44"/>
      <c r="J26" s="45"/>
      <c r="K26" s="45"/>
      <c r="L26" s="45"/>
      <c r="M26" s="44"/>
      <c r="N26" s="45"/>
      <c r="O26" s="44"/>
      <c r="P26" s="36" t="n">
        <f aca="false">IF(B26="",0,K26-L26-N26)</f>
        <v>0</v>
      </c>
      <c r="Q26" s="47" t="n">
        <f aca="true">IF(OR(H26="",G26="ליד",H26&gt;TODAY()),0,DATEDIF(H26,IF(I26="",TODAY(),I26),"m")+1)</f>
        <v>0</v>
      </c>
      <c r="R26" s="36" t="n">
        <f aca="false">IF(B26="",0,Q26*J26+L26+N26)</f>
        <v>0</v>
      </c>
      <c r="S26" s="43"/>
    </row>
    <row r="27" customFormat="false" ht="15" hidden="false" customHeight="false" outlineLevel="0" collapsed="false">
      <c r="A27" s="33" t="str">
        <f aca="false">IF(B27="","",ROW()-4)</f>
        <v/>
      </c>
      <c r="B27" s="30"/>
      <c r="C27" s="43"/>
      <c r="D27" s="30"/>
      <c r="E27" s="30"/>
      <c r="F27" s="30"/>
      <c r="G27" s="30"/>
      <c r="H27" s="44"/>
      <c r="I27" s="44"/>
      <c r="J27" s="45"/>
      <c r="K27" s="45"/>
      <c r="L27" s="45"/>
      <c r="M27" s="44"/>
      <c r="N27" s="45"/>
      <c r="O27" s="44"/>
      <c r="P27" s="31" t="n">
        <f aca="false">IF(B27="",0,K27-L27-N27)</f>
        <v>0</v>
      </c>
      <c r="Q27" s="46" t="n">
        <f aca="true">IF(OR(H27="",G27="ליד",H27&gt;TODAY()),0,DATEDIF(H27,IF(I27="",TODAY(),I27),"m")+1)</f>
        <v>0</v>
      </c>
      <c r="R27" s="31" t="n">
        <f aca="false">IF(B27="",0,Q27*J27+L27+N27)</f>
        <v>0</v>
      </c>
      <c r="S27" s="43"/>
    </row>
    <row r="28" customFormat="false" ht="15" hidden="false" customHeight="false" outlineLevel="0" collapsed="false">
      <c r="A28" s="38" t="str">
        <f aca="false">IF(B28="","",ROW()-4)</f>
        <v/>
      </c>
      <c r="B28" s="30"/>
      <c r="C28" s="43"/>
      <c r="D28" s="30"/>
      <c r="E28" s="30"/>
      <c r="F28" s="30"/>
      <c r="G28" s="30"/>
      <c r="H28" s="44"/>
      <c r="I28" s="44"/>
      <c r="J28" s="45"/>
      <c r="K28" s="45"/>
      <c r="L28" s="45"/>
      <c r="M28" s="44"/>
      <c r="N28" s="45"/>
      <c r="O28" s="44"/>
      <c r="P28" s="36" t="n">
        <f aca="false">IF(B28="",0,K28-L28-N28)</f>
        <v>0</v>
      </c>
      <c r="Q28" s="47" t="n">
        <f aca="true">IF(OR(H28="",G28="ליד",H28&gt;TODAY()),0,DATEDIF(H28,IF(I28="",TODAY(),I28),"m")+1)</f>
        <v>0</v>
      </c>
      <c r="R28" s="36" t="n">
        <f aca="false">IF(B28="",0,Q28*J28+L28+N28)</f>
        <v>0</v>
      </c>
      <c r="S28" s="43"/>
    </row>
    <row r="29" customFormat="false" ht="15" hidden="false" customHeight="false" outlineLevel="0" collapsed="false">
      <c r="A29" s="33" t="str">
        <f aca="false">IF(B29="","",ROW()-4)</f>
        <v/>
      </c>
      <c r="B29" s="30"/>
      <c r="C29" s="43"/>
      <c r="D29" s="30"/>
      <c r="E29" s="30"/>
      <c r="F29" s="30"/>
      <c r="G29" s="30"/>
      <c r="H29" s="44"/>
      <c r="I29" s="44"/>
      <c r="J29" s="45"/>
      <c r="K29" s="45"/>
      <c r="L29" s="45"/>
      <c r="M29" s="44"/>
      <c r="N29" s="45"/>
      <c r="O29" s="44"/>
      <c r="P29" s="31" t="n">
        <f aca="false">IF(B29="",0,K29-L29-N29)</f>
        <v>0</v>
      </c>
      <c r="Q29" s="46" t="n">
        <f aca="true">IF(OR(H29="",G29="ליד",H29&gt;TODAY()),0,DATEDIF(H29,IF(I29="",TODAY(),I29),"m")+1)</f>
        <v>0</v>
      </c>
      <c r="R29" s="31" t="n">
        <f aca="false">IF(B29="",0,Q29*J29+L29+N29)</f>
        <v>0</v>
      </c>
      <c r="S29" s="43"/>
    </row>
    <row r="30" customFormat="false" ht="15" hidden="false" customHeight="false" outlineLevel="0" collapsed="false">
      <c r="A30" s="38" t="str">
        <f aca="false">IF(B30="","",ROW()-4)</f>
        <v/>
      </c>
      <c r="B30" s="30"/>
      <c r="C30" s="43"/>
      <c r="D30" s="30"/>
      <c r="E30" s="30"/>
      <c r="F30" s="30"/>
      <c r="G30" s="30"/>
      <c r="H30" s="44"/>
      <c r="I30" s="44"/>
      <c r="J30" s="45"/>
      <c r="K30" s="45"/>
      <c r="L30" s="45"/>
      <c r="M30" s="44"/>
      <c r="N30" s="45"/>
      <c r="O30" s="44"/>
      <c r="P30" s="36" t="n">
        <f aca="false">IF(B30="",0,K30-L30-N30)</f>
        <v>0</v>
      </c>
      <c r="Q30" s="47" t="n">
        <f aca="true">IF(OR(H30="",G30="ליד",H30&gt;TODAY()),0,DATEDIF(H30,IF(I30="",TODAY(),I30),"m")+1)</f>
        <v>0</v>
      </c>
      <c r="R30" s="36" t="n">
        <f aca="false">IF(B30="",0,Q30*J30+L30+N30)</f>
        <v>0</v>
      </c>
      <c r="S30" s="43"/>
    </row>
    <row r="31" customFormat="false" ht="15" hidden="false" customHeight="false" outlineLevel="0" collapsed="false">
      <c r="A31" s="33" t="str">
        <f aca="false">IF(B31="","",ROW()-4)</f>
        <v/>
      </c>
      <c r="B31" s="30"/>
      <c r="C31" s="43"/>
      <c r="D31" s="30"/>
      <c r="E31" s="30"/>
      <c r="F31" s="30"/>
      <c r="G31" s="30"/>
      <c r="H31" s="44"/>
      <c r="I31" s="44"/>
      <c r="J31" s="45"/>
      <c r="K31" s="45"/>
      <c r="L31" s="45"/>
      <c r="M31" s="44"/>
      <c r="N31" s="45"/>
      <c r="O31" s="44"/>
      <c r="P31" s="31" t="n">
        <f aca="false">IF(B31="",0,K31-L31-N31)</f>
        <v>0</v>
      </c>
      <c r="Q31" s="46" t="n">
        <f aca="true">IF(OR(H31="",G31="ליד",H31&gt;TODAY()),0,DATEDIF(H31,IF(I31="",TODAY(),I31),"m")+1)</f>
        <v>0</v>
      </c>
      <c r="R31" s="31" t="n">
        <f aca="false">IF(B31="",0,Q31*J31+L31+N31)</f>
        <v>0</v>
      </c>
      <c r="S31" s="43"/>
    </row>
    <row r="32" customFormat="false" ht="15" hidden="false" customHeight="false" outlineLevel="0" collapsed="false">
      <c r="A32" s="38" t="str">
        <f aca="false">IF(B32="","",ROW()-4)</f>
        <v/>
      </c>
      <c r="B32" s="30"/>
      <c r="C32" s="43"/>
      <c r="D32" s="30"/>
      <c r="E32" s="30"/>
      <c r="F32" s="30"/>
      <c r="G32" s="30"/>
      <c r="H32" s="44"/>
      <c r="I32" s="44"/>
      <c r="J32" s="45"/>
      <c r="K32" s="45"/>
      <c r="L32" s="45"/>
      <c r="M32" s="44"/>
      <c r="N32" s="45"/>
      <c r="O32" s="44"/>
      <c r="P32" s="36" t="n">
        <f aca="false">IF(B32="",0,K32-L32-N32)</f>
        <v>0</v>
      </c>
      <c r="Q32" s="47" t="n">
        <f aca="true">IF(OR(H32="",G32="ליד",H32&gt;TODAY()),0,DATEDIF(H32,IF(I32="",TODAY(),I32),"m")+1)</f>
        <v>0</v>
      </c>
      <c r="R32" s="36" t="n">
        <f aca="false">IF(B32="",0,Q32*J32+L32+N32)</f>
        <v>0</v>
      </c>
      <c r="S32" s="43"/>
    </row>
    <row r="33" customFormat="false" ht="15" hidden="false" customHeight="false" outlineLevel="0" collapsed="false">
      <c r="A33" s="33" t="str">
        <f aca="false">IF(B33="","",ROW()-4)</f>
        <v/>
      </c>
      <c r="B33" s="30"/>
      <c r="C33" s="43"/>
      <c r="D33" s="30"/>
      <c r="E33" s="30"/>
      <c r="F33" s="30"/>
      <c r="G33" s="30"/>
      <c r="H33" s="44"/>
      <c r="I33" s="44"/>
      <c r="J33" s="45"/>
      <c r="K33" s="45"/>
      <c r="L33" s="45"/>
      <c r="M33" s="44"/>
      <c r="N33" s="45"/>
      <c r="O33" s="44"/>
      <c r="P33" s="31" t="n">
        <f aca="false">IF(B33="",0,K33-L33-N33)</f>
        <v>0</v>
      </c>
      <c r="Q33" s="46" t="n">
        <f aca="true">IF(OR(H33="",G33="ליד",H33&gt;TODAY()),0,DATEDIF(H33,IF(I33="",TODAY(),I33),"m")+1)</f>
        <v>0</v>
      </c>
      <c r="R33" s="31" t="n">
        <f aca="false">IF(B33="",0,Q33*J33+L33+N33)</f>
        <v>0</v>
      </c>
      <c r="S33" s="43"/>
    </row>
    <row r="34" customFormat="false" ht="15" hidden="false" customHeight="false" outlineLevel="0" collapsed="false">
      <c r="A34" s="38" t="str">
        <f aca="false">IF(B34="","",ROW()-4)</f>
        <v/>
      </c>
      <c r="B34" s="30"/>
      <c r="C34" s="43"/>
      <c r="D34" s="30"/>
      <c r="E34" s="30"/>
      <c r="F34" s="30"/>
      <c r="G34" s="30"/>
      <c r="H34" s="44"/>
      <c r="I34" s="44"/>
      <c r="J34" s="45"/>
      <c r="K34" s="45"/>
      <c r="L34" s="45"/>
      <c r="M34" s="44"/>
      <c r="N34" s="45"/>
      <c r="O34" s="44"/>
      <c r="P34" s="36" t="n">
        <f aca="false">IF(B34="",0,K34-L34-N34)</f>
        <v>0</v>
      </c>
      <c r="Q34" s="47" t="n">
        <f aca="true">IF(OR(H34="",G34="ליד",H34&gt;TODAY()),0,DATEDIF(H34,IF(I34="",TODAY(),I34),"m")+1)</f>
        <v>0</v>
      </c>
      <c r="R34" s="36" t="n">
        <f aca="false">IF(B34="",0,Q34*J34+L34+N34)</f>
        <v>0</v>
      </c>
      <c r="S34" s="43"/>
    </row>
    <row r="35" customFormat="false" ht="15" hidden="false" customHeight="false" outlineLevel="0" collapsed="false">
      <c r="A35" s="33" t="str">
        <f aca="false">IF(B35="","",ROW()-4)</f>
        <v/>
      </c>
      <c r="B35" s="30"/>
      <c r="C35" s="43"/>
      <c r="D35" s="30"/>
      <c r="E35" s="30"/>
      <c r="F35" s="30"/>
      <c r="G35" s="30"/>
      <c r="H35" s="44"/>
      <c r="I35" s="44"/>
      <c r="J35" s="45"/>
      <c r="K35" s="45"/>
      <c r="L35" s="45"/>
      <c r="M35" s="44"/>
      <c r="N35" s="45"/>
      <c r="O35" s="44"/>
      <c r="P35" s="31" t="n">
        <f aca="false">IF(B35="",0,K35-L35-N35)</f>
        <v>0</v>
      </c>
      <c r="Q35" s="46" t="n">
        <f aca="true">IF(OR(H35="",G35="ליד",H35&gt;TODAY()),0,DATEDIF(H35,IF(I35="",TODAY(),I35),"m")+1)</f>
        <v>0</v>
      </c>
      <c r="R35" s="31" t="n">
        <f aca="false">IF(B35="",0,Q35*J35+L35+N35)</f>
        <v>0</v>
      </c>
      <c r="S35" s="43"/>
    </row>
    <row r="36" customFormat="false" ht="15" hidden="false" customHeight="false" outlineLevel="0" collapsed="false">
      <c r="A36" s="38" t="str">
        <f aca="false">IF(B36="","",ROW()-4)</f>
        <v/>
      </c>
      <c r="B36" s="30"/>
      <c r="C36" s="43"/>
      <c r="D36" s="30"/>
      <c r="E36" s="30"/>
      <c r="F36" s="30"/>
      <c r="G36" s="30"/>
      <c r="H36" s="44"/>
      <c r="I36" s="44"/>
      <c r="J36" s="45"/>
      <c r="K36" s="45"/>
      <c r="L36" s="45"/>
      <c r="M36" s="44"/>
      <c r="N36" s="45"/>
      <c r="O36" s="44"/>
      <c r="P36" s="36" t="n">
        <f aca="false">IF(B36="",0,K36-L36-N36)</f>
        <v>0</v>
      </c>
      <c r="Q36" s="47" t="n">
        <f aca="true">IF(OR(H36="",G36="ליד",H36&gt;TODAY()),0,DATEDIF(H36,IF(I36="",TODAY(),I36),"m")+1)</f>
        <v>0</v>
      </c>
      <c r="R36" s="36" t="n">
        <f aca="false">IF(B36="",0,Q36*J36+L36+N36)</f>
        <v>0</v>
      </c>
      <c r="S36" s="43"/>
    </row>
    <row r="37" customFormat="false" ht="15" hidden="false" customHeight="false" outlineLevel="0" collapsed="false">
      <c r="A37" s="33" t="str">
        <f aca="false">IF(B37="","",ROW()-4)</f>
        <v/>
      </c>
      <c r="B37" s="30"/>
      <c r="C37" s="43"/>
      <c r="D37" s="30"/>
      <c r="E37" s="30"/>
      <c r="F37" s="30"/>
      <c r="G37" s="30"/>
      <c r="H37" s="44"/>
      <c r="I37" s="44"/>
      <c r="J37" s="45"/>
      <c r="K37" s="45"/>
      <c r="L37" s="45"/>
      <c r="M37" s="44"/>
      <c r="N37" s="45"/>
      <c r="O37" s="44"/>
      <c r="P37" s="31" t="n">
        <f aca="false">IF(B37="",0,K37-L37-N37)</f>
        <v>0</v>
      </c>
      <c r="Q37" s="46" t="n">
        <f aca="true">IF(OR(H37="",G37="ליד",H37&gt;TODAY()),0,DATEDIF(H37,IF(I37="",TODAY(),I37),"m")+1)</f>
        <v>0</v>
      </c>
      <c r="R37" s="31" t="n">
        <f aca="false">IF(B37="",0,Q37*J37+L37+N37)</f>
        <v>0</v>
      </c>
      <c r="S37" s="43"/>
    </row>
    <row r="38" customFormat="false" ht="15" hidden="false" customHeight="false" outlineLevel="0" collapsed="false">
      <c r="A38" s="38" t="str">
        <f aca="false">IF(B38="","",ROW()-4)</f>
        <v/>
      </c>
      <c r="B38" s="30"/>
      <c r="C38" s="43"/>
      <c r="D38" s="30"/>
      <c r="E38" s="30"/>
      <c r="F38" s="30"/>
      <c r="G38" s="30"/>
      <c r="H38" s="44"/>
      <c r="I38" s="44"/>
      <c r="J38" s="45"/>
      <c r="K38" s="45"/>
      <c r="L38" s="45"/>
      <c r="M38" s="44"/>
      <c r="N38" s="45"/>
      <c r="O38" s="44"/>
      <c r="P38" s="36" t="n">
        <f aca="false">IF(B38="",0,K38-L38-N38)</f>
        <v>0</v>
      </c>
      <c r="Q38" s="47" t="n">
        <f aca="true">IF(OR(H38="",G38="ליד",H38&gt;TODAY()),0,DATEDIF(H38,IF(I38="",TODAY(),I38),"m")+1)</f>
        <v>0</v>
      </c>
      <c r="R38" s="36" t="n">
        <f aca="false">IF(B38="",0,Q38*J38+L38+N38)</f>
        <v>0</v>
      </c>
      <c r="S38" s="43"/>
    </row>
    <row r="39" customFormat="false" ht="15" hidden="false" customHeight="false" outlineLevel="0" collapsed="false">
      <c r="A39" s="33" t="str">
        <f aca="false">IF(B39="","",ROW()-4)</f>
        <v/>
      </c>
      <c r="B39" s="30"/>
      <c r="C39" s="43"/>
      <c r="D39" s="30"/>
      <c r="E39" s="30"/>
      <c r="F39" s="30"/>
      <c r="G39" s="30"/>
      <c r="H39" s="44"/>
      <c r="I39" s="44"/>
      <c r="J39" s="45"/>
      <c r="K39" s="45"/>
      <c r="L39" s="45"/>
      <c r="M39" s="44"/>
      <c r="N39" s="45"/>
      <c r="O39" s="44"/>
      <c r="P39" s="31" t="n">
        <f aca="false">IF(B39="",0,K39-L39-N39)</f>
        <v>0</v>
      </c>
      <c r="Q39" s="46" t="n">
        <f aca="true">IF(OR(H39="",G39="ליד",H39&gt;TODAY()),0,DATEDIF(H39,IF(I39="",TODAY(),I39),"m")+1)</f>
        <v>0</v>
      </c>
      <c r="R39" s="31" t="n">
        <f aca="false">IF(B39="",0,Q39*J39+L39+N39)</f>
        <v>0</v>
      </c>
      <c r="S39" s="43"/>
    </row>
    <row r="40" customFormat="false" ht="15" hidden="false" customHeight="false" outlineLevel="0" collapsed="false">
      <c r="A40" s="38" t="str">
        <f aca="false">IF(B40="","",ROW()-4)</f>
        <v/>
      </c>
      <c r="B40" s="30"/>
      <c r="C40" s="43"/>
      <c r="D40" s="30"/>
      <c r="E40" s="30"/>
      <c r="F40" s="30"/>
      <c r="G40" s="30"/>
      <c r="H40" s="44"/>
      <c r="I40" s="44"/>
      <c r="J40" s="45"/>
      <c r="K40" s="45"/>
      <c r="L40" s="45"/>
      <c r="M40" s="44"/>
      <c r="N40" s="45"/>
      <c r="O40" s="44"/>
      <c r="P40" s="36" t="n">
        <f aca="false">IF(B40="",0,K40-L40-N40)</f>
        <v>0</v>
      </c>
      <c r="Q40" s="47" t="n">
        <f aca="true">IF(OR(H40="",G40="ליד",H40&gt;TODAY()),0,DATEDIF(H40,IF(I40="",TODAY(),I40),"m")+1)</f>
        <v>0</v>
      </c>
      <c r="R40" s="36" t="n">
        <f aca="false">IF(B40="",0,Q40*J40+L40+N40)</f>
        <v>0</v>
      </c>
      <c r="S40" s="43"/>
    </row>
  </sheetData>
  <autoFilter ref="A4:S40"/>
  <mergeCells count="2">
    <mergeCell ref="A1:S1"/>
    <mergeCell ref="A2:S2"/>
  </mergeCells>
  <conditionalFormatting sqref="G5:G40">
    <cfRule type="cellIs" priority="2" operator="equal" aboveAverage="0" equalAverage="0" bottom="0" percent="0" rank="0" text="" dxfId="0">
      <formula>"פעיל"</formula>
    </cfRule>
    <cfRule type="cellIs" priority="3" operator="equal" aboveAverage="0" equalAverage="0" bottom="0" percent="0" rank="0" text="" dxfId="16">
      <formula>"בהקמה"</formula>
    </cfRule>
    <cfRule type="cellIs" priority="4" operator="equal" aboveAverage="0" equalAverage="0" bottom="0" percent="0" rank="0" text="" dxfId="17">
      <formula>"ליד"</formula>
    </cfRule>
    <cfRule type="cellIs" priority="5" operator="equal" aboveAverage="0" equalAverage="0" bottom="0" percent="0" rank="0" text="" dxfId="18">
      <formula>"עזב"</formula>
    </cfRule>
  </conditionalFormatting>
  <conditionalFormatting sqref="P5:P40">
    <cfRule type="cellIs" priority="6" operator="greaterThan" aboveAverage="0" equalAverage="0" bottom="0" percent="0" rank="0" text="" dxfId="1">
      <formula>0</formula>
    </cfRule>
  </conditionalFormatting>
  <conditionalFormatting sqref="R5:R40">
    <cfRule type="dataBar" priority="7">
      <dataBar showValue="1" minLength="10" maxLength="90">
        <cfvo type="num" val="0"/>
        <cfvo type="max" val="0"/>
        <color rgb="FF7DCEA0"/>
      </dataBar>
      <extLst>
        <ext xmlns:x14="http://schemas.microsoft.com/office/spreadsheetml/2009/9/main" uri="{B025F937-C7B1-47D3-B67F-A62EFF666E3E}">
          <x14:id>{9CA6B58E-92EA-4DC8-9F58-6810DF3B53C1}</x14:id>
        </ext>
      </extLst>
    </cfRule>
  </conditionalFormatting>
  <dataValidations count="2">
    <dataValidation allowBlank="true" errorStyle="stop" operator="between" showDropDown="false" showErrorMessage="false" showInputMessage="false" sqref="D5:D40" type="list">
      <formula1>"מנעולן,אינסטלטור,חשמלאי,מיזוג,הדברה,אחר"</formula1>
      <formula2>0</formula2>
    </dataValidation>
    <dataValidation allowBlank="true" errorStyle="stop" operator="between" showDropDown="false" showErrorMessage="false" showInputMessage="false" sqref="G5:G40" type="list">
      <formula1>"ליד,בהקמה,פעיל,עזב"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A6B58E-92EA-4DC8-9F58-6810DF3B53C1}">
            <x14:dataBar minLength="10" maxLength="90" axisPosition="none" gradient="true">
              <x14:cfvo type="num">
                <xm:f>0</xm:f>
              </x14:cfvo>
              <x14:cfvo type="max"/>
              <x14:negativeFillColor rgb="FF7DCEA0"/>
              <x14:axisColor rgb="FF000000"/>
            </x14:dataBar>
          </x14:cfRule>
          <xm:sqref>R5:R40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M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10" min="8" style="0" width="12"/>
    <col collapsed="false" customWidth="true" hidden="false" outlineLevel="0" max="11" min="11" style="0" width="46"/>
    <col collapsed="false" customWidth="true" hidden="false" outlineLevel="0" max="12" min="12" style="0" width="12"/>
    <col collapsed="false" customWidth="true" hidden="false" outlineLevel="0" max="13" min="13" style="0" width="13"/>
  </cols>
  <sheetData>
    <row r="1" customFormat="false" ht="33.7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6" hidden="false" customHeight="true" outlineLevel="0" collapsed="false">
      <c r="A4" s="27" t="s">
        <v>74</v>
      </c>
      <c r="B4" s="27" t="s">
        <v>75</v>
      </c>
      <c r="C4" s="27" t="s">
        <v>76</v>
      </c>
      <c r="D4" s="27" t="s">
        <v>77</v>
      </c>
      <c r="E4" s="27" t="s">
        <v>78</v>
      </c>
      <c r="F4" s="27" t="s">
        <v>79</v>
      </c>
      <c r="G4" s="27" t="s">
        <v>52</v>
      </c>
      <c r="H4" s="27" t="s">
        <v>80</v>
      </c>
      <c r="I4" s="27" t="s">
        <v>81</v>
      </c>
      <c r="J4" s="27" t="s">
        <v>82</v>
      </c>
      <c r="K4" s="27" t="s">
        <v>83</v>
      </c>
      <c r="L4" s="27" t="s">
        <v>84</v>
      </c>
      <c r="M4" s="27" t="s">
        <v>85</v>
      </c>
    </row>
    <row r="5" customFormat="false" ht="15" hidden="false" customHeight="false" outlineLevel="0" collapsed="false">
      <c r="A5" s="43" t="s">
        <v>86</v>
      </c>
      <c r="B5" s="30" t="s">
        <v>87</v>
      </c>
      <c r="C5" s="48" t="n">
        <v>5</v>
      </c>
      <c r="D5" s="30" t="s">
        <v>88</v>
      </c>
      <c r="E5" s="30" t="s">
        <v>89</v>
      </c>
      <c r="F5" s="30" t="s">
        <v>90</v>
      </c>
      <c r="G5" s="30" t="s">
        <v>91</v>
      </c>
      <c r="H5" s="44" t="n">
        <v>46309</v>
      </c>
      <c r="I5" s="44"/>
      <c r="J5" s="30" t="s">
        <v>92</v>
      </c>
      <c r="K5" s="43" t="s">
        <v>93</v>
      </c>
      <c r="L5" s="49" t="n">
        <f aca="false">IF(C5="",0,C5*IF(D5="USD",הגדרות!$B$5,IF(D5="EUR",הגדרות!$B$6,1)))</f>
        <v>18.5</v>
      </c>
      <c r="M5" s="49" t="n">
        <f aca="false">IF(OR(C5="",G5="בוטל"),0,IF(OR(E5="חודשי",E5="לפי שימוש"),L5,IF(E5="שנתי",L5/12,0)))</f>
        <v>18.5</v>
      </c>
    </row>
    <row r="6" customFormat="false" ht="26.85" hidden="false" customHeight="false" outlineLevel="0" collapsed="false">
      <c r="A6" s="43" t="s">
        <v>94</v>
      </c>
      <c r="B6" s="30" t="s">
        <v>95</v>
      </c>
      <c r="C6" s="48" t="n">
        <v>39</v>
      </c>
      <c r="D6" s="30" t="s">
        <v>88</v>
      </c>
      <c r="E6" s="30" t="s">
        <v>89</v>
      </c>
      <c r="F6" s="30" t="s">
        <v>90</v>
      </c>
      <c r="G6" s="30" t="s">
        <v>91</v>
      </c>
      <c r="H6" s="44" t="n">
        <v>46309</v>
      </c>
      <c r="I6" s="44"/>
      <c r="J6" s="30" t="s">
        <v>96</v>
      </c>
      <c r="K6" s="43" t="s">
        <v>97</v>
      </c>
      <c r="L6" s="50" t="n">
        <f aca="false">IF(C6="",0,C6*IF(D6="USD",הגדרות!$B$5,IF(D6="EUR",הגדרות!$B$6,1)))</f>
        <v>144.3</v>
      </c>
      <c r="M6" s="50" t="n">
        <f aca="false">IF(OR(C6="",G6="בוטל"),0,IF(OR(E6="חודשי",E6="לפי שימוש"),L6,IF(E6="שנתי",L6/12,0)))</f>
        <v>144.3</v>
      </c>
    </row>
    <row r="7" customFormat="false" ht="15" hidden="false" customHeight="false" outlineLevel="0" collapsed="false">
      <c r="A7" s="43" t="s">
        <v>98</v>
      </c>
      <c r="B7" s="30" t="s">
        <v>99</v>
      </c>
      <c r="C7" s="48" t="n">
        <v>0</v>
      </c>
      <c r="D7" s="30" t="s">
        <v>100</v>
      </c>
      <c r="E7" s="30" t="s">
        <v>89</v>
      </c>
      <c r="F7" s="30" t="s">
        <v>90</v>
      </c>
      <c r="G7" s="30" t="s">
        <v>91</v>
      </c>
      <c r="H7" s="44" t="n">
        <v>46306</v>
      </c>
      <c r="I7" s="44"/>
      <c r="J7" s="30" t="s">
        <v>101</v>
      </c>
      <c r="K7" s="43" t="s">
        <v>102</v>
      </c>
      <c r="L7" s="49" t="n">
        <f aca="false">IF(C7="",0,C7*IF(D7="USD",הגדרות!$B$5,IF(D7="EUR",הגדרות!$B$6,1)))</f>
        <v>0</v>
      </c>
      <c r="M7" s="49" t="n">
        <f aca="false">IF(OR(C7="",G7="בוטל"),0,IF(OR(E7="חודשי",E7="לפי שימוש"),L7,IF(E7="שנתי",L7/12,0)))</f>
        <v>0</v>
      </c>
    </row>
    <row r="8" customFormat="false" ht="15" hidden="false" customHeight="false" outlineLevel="0" collapsed="false">
      <c r="A8" s="43" t="s">
        <v>103</v>
      </c>
      <c r="B8" s="30" t="s">
        <v>104</v>
      </c>
      <c r="C8" s="48" t="n">
        <v>10</v>
      </c>
      <c r="D8" s="30" t="s">
        <v>88</v>
      </c>
      <c r="E8" s="30" t="s">
        <v>105</v>
      </c>
      <c r="F8" s="30" t="s">
        <v>90</v>
      </c>
      <c r="G8" s="30" t="s">
        <v>91</v>
      </c>
      <c r="H8" s="44" t="n">
        <v>46309</v>
      </c>
      <c r="I8" s="44"/>
      <c r="J8" s="30" t="s">
        <v>92</v>
      </c>
      <c r="K8" s="43" t="s">
        <v>106</v>
      </c>
      <c r="L8" s="50" t="n">
        <f aca="false">IF(C8="",0,C8*IF(D8="USD",הגדרות!$B$5,IF(D8="EUR",הגדרות!$B$6,1)))</f>
        <v>37</v>
      </c>
      <c r="M8" s="50" t="n">
        <f aca="false">IF(OR(C8="",G8="בוטל"),0,IF(OR(E8="חודשי",E8="לפי שימוש"),L8,IF(E8="שנתי",L8/12,0)))</f>
        <v>0</v>
      </c>
    </row>
    <row r="9" customFormat="false" ht="26.85" hidden="false" customHeight="false" outlineLevel="0" collapsed="false">
      <c r="A9" s="43" t="s">
        <v>107</v>
      </c>
      <c r="B9" s="30" t="s">
        <v>104</v>
      </c>
      <c r="C9" s="48" t="n">
        <v>11</v>
      </c>
      <c r="D9" s="30" t="s">
        <v>88</v>
      </c>
      <c r="E9" s="30" t="s">
        <v>108</v>
      </c>
      <c r="F9" s="30" t="s">
        <v>109</v>
      </c>
      <c r="G9" s="30" t="s">
        <v>91</v>
      </c>
      <c r="H9" s="44" t="n">
        <v>46309</v>
      </c>
      <c r="I9" s="44"/>
      <c r="J9" s="30" t="s">
        <v>92</v>
      </c>
      <c r="K9" s="43" t="s">
        <v>110</v>
      </c>
      <c r="L9" s="49" t="n">
        <f aca="false">IF(C9="",0,C9*IF(D9="USD",הגדרות!$B$5,IF(D9="EUR",הגדרות!$B$6,1)))</f>
        <v>40.7</v>
      </c>
      <c r="M9" s="49" t="n">
        <f aca="false">IF(OR(C9="",G9="בוטל"),0,IF(OR(E9="חודשי",E9="לפי שימוש"),L9,IF(E9="שנתי",L9/12,0)))</f>
        <v>40.7</v>
      </c>
    </row>
    <row r="10" customFormat="false" ht="26.85" hidden="false" customHeight="false" outlineLevel="0" collapsed="false">
      <c r="A10" s="43" t="s">
        <v>111</v>
      </c>
      <c r="B10" s="30" t="s">
        <v>95</v>
      </c>
      <c r="C10" s="48" t="n">
        <v>49</v>
      </c>
      <c r="D10" s="30" t="s">
        <v>112</v>
      </c>
      <c r="E10" s="30" t="s">
        <v>89</v>
      </c>
      <c r="F10" s="30" t="s">
        <v>109</v>
      </c>
      <c r="G10" s="30" t="s">
        <v>113</v>
      </c>
      <c r="H10" s="44" t="n">
        <v>46327</v>
      </c>
      <c r="I10" s="44"/>
      <c r="J10" s="30" t="s">
        <v>92</v>
      </c>
      <c r="K10" s="43" t="s">
        <v>114</v>
      </c>
      <c r="L10" s="50" t="n">
        <f aca="false">IF(C10="",0,C10*IF(D10="USD",הגדרות!$B$5,IF(D10="EUR",הגדרות!$B$6,1)))</f>
        <v>196</v>
      </c>
      <c r="M10" s="50" t="n">
        <f aca="false">IF(OR(C10="",G10="בוטל"),0,IF(OR(E10="חודשי",E10="לפי שימוש"),L10,IF(E10="שנתי",L10/12,0)))</f>
        <v>196</v>
      </c>
    </row>
    <row r="11" customFormat="false" ht="15" hidden="false" customHeight="false" outlineLevel="0" collapsed="false">
      <c r="A11" s="43" t="s">
        <v>115</v>
      </c>
      <c r="B11" s="30" t="s">
        <v>95</v>
      </c>
      <c r="C11" s="48" t="n">
        <v>10</v>
      </c>
      <c r="D11" s="30" t="s">
        <v>100</v>
      </c>
      <c r="E11" s="30" t="s">
        <v>108</v>
      </c>
      <c r="F11" s="30" t="s">
        <v>109</v>
      </c>
      <c r="G11" s="30" t="s">
        <v>113</v>
      </c>
      <c r="H11" s="44" t="n">
        <v>46327</v>
      </c>
      <c r="I11" s="44"/>
      <c r="J11" s="30" t="s">
        <v>92</v>
      </c>
      <c r="K11" s="43" t="s">
        <v>116</v>
      </c>
      <c r="L11" s="49" t="n">
        <f aca="false">IF(C11="",0,C11*IF(D11="USD",הגדרות!$B$5,IF(D11="EUR",הגדרות!$B$6,1)))</f>
        <v>10</v>
      </c>
      <c r="M11" s="49" t="n">
        <f aca="false">IF(OR(C11="",G11="בוטל"),0,IF(OR(E11="חודשי",E11="לפי שימוש"),L11,IF(E11="שנתי",L11/12,0)))</f>
        <v>10</v>
      </c>
    </row>
    <row r="12" customFormat="false" ht="15" hidden="false" customHeight="false" outlineLevel="0" collapsed="false">
      <c r="A12" s="43"/>
      <c r="B12" s="30"/>
      <c r="C12" s="48"/>
      <c r="D12" s="30"/>
      <c r="E12" s="30"/>
      <c r="F12" s="30"/>
      <c r="G12" s="30"/>
      <c r="H12" s="44"/>
      <c r="I12" s="44"/>
      <c r="J12" s="30"/>
      <c r="K12" s="43"/>
      <c r="L12" s="50" t="n">
        <f aca="false">IF(C12="",0,C12*IF(D12="USD",הגדרות!$B$5,IF(D12="EUR",הגדרות!$B$6,1)))</f>
        <v>0</v>
      </c>
      <c r="M12" s="50" t="n">
        <f aca="false">IF(OR(C12="",G12="בוטל"),0,IF(OR(E12="חודשי",E12="לפי שימוש"),L12,IF(E12="שנתי",L12/12,0)))</f>
        <v>0</v>
      </c>
    </row>
    <row r="13" customFormat="false" ht="15" hidden="false" customHeight="false" outlineLevel="0" collapsed="false">
      <c r="A13" s="43"/>
      <c r="B13" s="30"/>
      <c r="C13" s="48"/>
      <c r="D13" s="30"/>
      <c r="E13" s="30"/>
      <c r="F13" s="30"/>
      <c r="G13" s="30"/>
      <c r="H13" s="44"/>
      <c r="I13" s="44"/>
      <c r="J13" s="30"/>
      <c r="K13" s="43"/>
      <c r="L13" s="49" t="n">
        <f aca="false">IF(C13="",0,C13*IF(D13="USD",הגדרות!$B$5,IF(D13="EUR",הגדרות!$B$6,1)))</f>
        <v>0</v>
      </c>
      <c r="M13" s="49" t="n">
        <f aca="false">IF(OR(C13="",G13="בוטל"),0,IF(OR(E13="חודשי",E13="לפי שימוש"),L13,IF(E13="שנתי",L13/12,0)))</f>
        <v>0</v>
      </c>
    </row>
    <row r="14" customFormat="false" ht="15" hidden="false" customHeight="false" outlineLevel="0" collapsed="false">
      <c r="A14" s="43"/>
      <c r="B14" s="30"/>
      <c r="C14" s="48"/>
      <c r="D14" s="30"/>
      <c r="E14" s="30"/>
      <c r="F14" s="30"/>
      <c r="G14" s="30"/>
      <c r="H14" s="44"/>
      <c r="I14" s="44"/>
      <c r="J14" s="30"/>
      <c r="K14" s="43"/>
      <c r="L14" s="50" t="n">
        <f aca="false">IF(C14="",0,C14*IF(D14="USD",הגדרות!$B$5,IF(D14="EUR",הגדרות!$B$6,1)))</f>
        <v>0</v>
      </c>
      <c r="M14" s="50" t="n">
        <f aca="false">IF(OR(C14="",G14="בוטל"),0,IF(OR(E14="חודשי",E14="לפי שימוש"),L14,IF(E14="שנתי",L14/12,0)))</f>
        <v>0</v>
      </c>
    </row>
    <row r="15" customFormat="false" ht="15" hidden="false" customHeight="false" outlineLevel="0" collapsed="false">
      <c r="A15" s="43"/>
      <c r="B15" s="30"/>
      <c r="C15" s="48"/>
      <c r="D15" s="30"/>
      <c r="E15" s="30"/>
      <c r="F15" s="30"/>
      <c r="G15" s="30"/>
      <c r="H15" s="44"/>
      <c r="I15" s="44"/>
      <c r="J15" s="30"/>
      <c r="K15" s="43"/>
      <c r="L15" s="49" t="n">
        <f aca="false">IF(C15="",0,C15*IF(D15="USD",הגדרות!$B$5,IF(D15="EUR",הגדרות!$B$6,1)))</f>
        <v>0</v>
      </c>
      <c r="M15" s="49" t="n">
        <f aca="false">IF(OR(C15="",G15="בוטל"),0,IF(OR(E15="חודשי",E15="לפי שימוש"),L15,IF(E15="שנתי",L15/12,0)))</f>
        <v>0</v>
      </c>
    </row>
    <row r="16" customFormat="false" ht="15" hidden="false" customHeight="false" outlineLevel="0" collapsed="false">
      <c r="A16" s="43"/>
      <c r="B16" s="30"/>
      <c r="C16" s="48"/>
      <c r="D16" s="30"/>
      <c r="E16" s="30"/>
      <c r="F16" s="30"/>
      <c r="G16" s="30"/>
      <c r="H16" s="44"/>
      <c r="I16" s="44"/>
      <c r="J16" s="30"/>
      <c r="K16" s="43"/>
      <c r="L16" s="50" t="n">
        <f aca="false">IF(C16="",0,C16*IF(D16="USD",הגדרות!$B$5,IF(D16="EUR",הגדרות!$B$6,1)))</f>
        <v>0</v>
      </c>
      <c r="M16" s="50" t="n">
        <f aca="false">IF(OR(C16="",G16="בוטל"),0,IF(OR(E16="חודשי",E16="לפי שימוש"),L16,IF(E16="שנתי",L16/12,0)))</f>
        <v>0</v>
      </c>
    </row>
    <row r="17" customFormat="false" ht="15" hidden="false" customHeight="false" outlineLevel="0" collapsed="false">
      <c r="A17" s="43"/>
      <c r="B17" s="30"/>
      <c r="C17" s="48"/>
      <c r="D17" s="30"/>
      <c r="E17" s="30"/>
      <c r="F17" s="30"/>
      <c r="G17" s="30"/>
      <c r="H17" s="44"/>
      <c r="I17" s="44"/>
      <c r="J17" s="30"/>
      <c r="K17" s="43"/>
      <c r="L17" s="49" t="n">
        <f aca="false">IF(C17="",0,C17*IF(D17="USD",הגדרות!$B$5,IF(D17="EUR",הגדרות!$B$6,1)))</f>
        <v>0</v>
      </c>
      <c r="M17" s="49" t="n">
        <f aca="false">IF(OR(C17="",G17="בוטל"),0,IF(OR(E17="חודשי",E17="לפי שימוש"),L17,IF(E17="שנתי",L17/12,0)))</f>
        <v>0</v>
      </c>
    </row>
    <row r="18" customFormat="false" ht="15" hidden="false" customHeight="false" outlineLevel="0" collapsed="false">
      <c r="A18" s="43"/>
      <c r="B18" s="30"/>
      <c r="C18" s="48"/>
      <c r="D18" s="30"/>
      <c r="E18" s="30"/>
      <c r="F18" s="30"/>
      <c r="G18" s="30"/>
      <c r="H18" s="44"/>
      <c r="I18" s="44"/>
      <c r="J18" s="30"/>
      <c r="K18" s="43"/>
      <c r="L18" s="50" t="n">
        <f aca="false">IF(C18="",0,C18*IF(D18="USD",הגדרות!$B$5,IF(D18="EUR",הגדרות!$B$6,1)))</f>
        <v>0</v>
      </c>
      <c r="M18" s="50" t="n">
        <f aca="false">IF(OR(C18="",G18="בוטל"),0,IF(OR(E18="חודשי",E18="לפי שימוש"),L18,IF(E18="שנתי",L18/12,0)))</f>
        <v>0</v>
      </c>
    </row>
    <row r="19" customFormat="false" ht="15" hidden="false" customHeight="false" outlineLevel="0" collapsed="false">
      <c r="A19" s="43"/>
      <c r="B19" s="30"/>
      <c r="C19" s="48"/>
      <c r="D19" s="30"/>
      <c r="E19" s="30"/>
      <c r="F19" s="30"/>
      <c r="G19" s="30"/>
      <c r="H19" s="44"/>
      <c r="I19" s="44"/>
      <c r="J19" s="30"/>
      <c r="K19" s="43"/>
      <c r="L19" s="49" t="n">
        <f aca="false">IF(C19="",0,C19*IF(D19="USD",הגדרות!$B$5,IF(D19="EUR",הגדרות!$B$6,1)))</f>
        <v>0</v>
      </c>
      <c r="M19" s="49" t="n">
        <f aca="false">IF(OR(C19="",G19="בוטל"),0,IF(OR(E19="חודשי",E19="לפי שימוש"),L19,IF(E19="שנתי",L19/12,0)))</f>
        <v>0</v>
      </c>
    </row>
    <row r="20" customFormat="false" ht="15" hidden="false" customHeight="false" outlineLevel="0" collapsed="false">
      <c r="A20" s="43"/>
      <c r="B20" s="30"/>
      <c r="C20" s="48"/>
      <c r="D20" s="30"/>
      <c r="E20" s="30"/>
      <c r="F20" s="30"/>
      <c r="G20" s="30"/>
      <c r="H20" s="44"/>
      <c r="I20" s="44"/>
      <c r="J20" s="30"/>
      <c r="K20" s="43"/>
      <c r="L20" s="50" t="n">
        <f aca="false">IF(C20="",0,C20*IF(D20="USD",הגדרות!$B$5,IF(D20="EUR",הגדרות!$B$6,1)))</f>
        <v>0</v>
      </c>
      <c r="M20" s="50" t="n">
        <f aca="false">IF(OR(C20="",G20="בוטל"),0,IF(OR(E20="חודשי",E20="לפי שימוש"),L20,IF(E20="שנתי",L20/12,0)))</f>
        <v>0</v>
      </c>
    </row>
    <row r="21" customFormat="false" ht="15" hidden="false" customHeight="false" outlineLevel="0" collapsed="false">
      <c r="A21" s="43"/>
      <c r="B21" s="30"/>
      <c r="C21" s="48"/>
      <c r="D21" s="30"/>
      <c r="E21" s="30"/>
      <c r="F21" s="30"/>
      <c r="G21" s="30"/>
      <c r="H21" s="44"/>
      <c r="I21" s="44"/>
      <c r="J21" s="30"/>
      <c r="K21" s="43"/>
      <c r="L21" s="49" t="n">
        <f aca="false">IF(C21="",0,C21*IF(D21="USD",הגדרות!$B$5,IF(D21="EUR",הגדרות!$B$6,1)))</f>
        <v>0</v>
      </c>
      <c r="M21" s="49" t="n">
        <f aca="false">IF(OR(C21="",G21="בוטל"),0,IF(OR(E21="חודשי",E21="לפי שימוש"),L21,IF(E21="שנתי",L21/12,0)))</f>
        <v>0</v>
      </c>
    </row>
    <row r="22" customFormat="false" ht="15" hidden="false" customHeight="false" outlineLevel="0" collapsed="false">
      <c r="A22" s="43"/>
      <c r="B22" s="30"/>
      <c r="C22" s="48"/>
      <c r="D22" s="30"/>
      <c r="E22" s="30"/>
      <c r="F22" s="30"/>
      <c r="G22" s="30"/>
      <c r="H22" s="44"/>
      <c r="I22" s="44"/>
      <c r="J22" s="30"/>
      <c r="K22" s="43"/>
      <c r="L22" s="50" t="n">
        <f aca="false">IF(C22="",0,C22*IF(D22="USD",הגדרות!$B$5,IF(D22="EUR",הגדרות!$B$6,1)))</f>
        <v>0</v>
      </c>
      <c r="M22" s="50" t="n">
        <f aca="false">IF(OR(C22="",G22="בוטל"),0,IF(OR(E22="חודשי",E22="לפי שימוש"),L22,IF(E22="שנתי",L22/12,0)))</f>
        <v>0</v>
      </c>
    </row>
    <row r="23" customFormat="false" ht="15" hidden="false" customHeight="false" outlineLevel="0" collapsed="false">
      <c r="A23" s="43"/>
      <c r="B23" s="30"/>
      <c r="C23" s="48"/>
      <c r="D23" s="30"/>
      <c r="E23" s="30"/>
      <c r="F23" s="30"/>
      <c r="G23" s="30"/>
      <c r="H23" s="44"/>
      <c r="I23" s="44"/>
      <c r="J23" s="30"/>
      <c r="K23" s="43"/>
      <c r="L23" s="49" t="n">
        <f aca="false">IF(C23="",0,C23*IF(D23="USD",הגדרות!$B$5,IF(D23="EUR",הגדרות!$B$6,1)))</f>
        <v>0</v>
      </c>
      <c r="M23" s="49" t="n">
        <f aca="false">IF(OR(C23="",G23="בוטל"),0,IF(OR(E23="חודשי",E23="לפי שימוש"),L23,IF(E23="שנתי",L23/12,0)))</f>
        <v>0</v>
      </c>
    </row>
    <row r="24" customFormat="false" ht="15" hidden="false" customHeight="false" outlineLevel="0" collapsed="false">
      <c r="A24" s="43"/>
      <c r="B24" s="30"/>
      <c r="C24" s="48"/>
      <c r="D24" s="30"/>
      <c r="E24" s="30"/>
      <c r="F24" s="30"/>
      <c r="G24" s="30"/>
      <c r="H24" s="44"/>
      <c r="I24" s="44"/>
      <c r="J24" s="30"/>
      <c r="K24" s="43"/>
      <c r="L24" s="50" t="n">
        <f aca="false">IF(C24="",0,C24*IF(D24="USD",הגדרות!$B$5,IF(D24="EUR",הגדרות!$B$6,1)))</f>
        <v>0</v>
      </c>
      <c r="M24" s="50" t="n">
        <f aca="false">IF(OR(C24="",G24="בוטל"),0,IF(OR(E24="חודשי",E24="לפי שימוש"),L24,IF(E24="שנתי",L24/12,0)))</f>
        <v>0</v>
      </c>
    </row>
    <row r="25" customFormat="false" ht="15" hidden="false" customHeight="false" outlineLevel="0" collapsed="false">
      <c r="A25" s="43"/>
      <c r="B25" s="30"/>
      <c r="C25" s="48"/>
      <c r="D25" s="30"/>
      <c r="E25" s="30"/>
      <c r="F25" s="30"/>
      <c r="G25" s="30"/>
      <c r="H25" s="44"/>
      <c r="I25" s="44"/>
      <c r="J25" s="30"/>
      <c r="K25" s="43"/>
      <c r="L25" s="49" t="n">
        <f aca="false">IF(C25="",0,C25*IF(D25="USD",הגדרות!$B$5,IF(D25="EUR",הגדרות!$B$6,1)))</f>
        <v>0</v>
      </c>
      <c r="M25" s="49" t="n">
        <f aca="false">IF(OR(C25="",G25="בוטל"),0,IF(OR(E25="חודשי",E25="לפי שימוש"),L25,IF(E25="שנתי",L25/12,0)))</f>
        <v>0</v>
      </c>
    </row>
    <row r="26" customFormat="false" ht="15" hidden="false" customHeight="false" outlineLevel="0" collapsed="false">
      <c r="A26" s="43"/>
      <c r="B26" s="30"/>
      <c r="C26" s="48"/>
      <c r="D26" s="30"/>
      <c r="E26" s="30"/>
      <c r="F26" s="30"/>
      <c r="G26" s="30"/>
      <c r="H26" s="44"/>
      <c r="I26" s="44"/>
      <c r="J26" s="30"/>
      <c r="K26" s="43"/>
      <c r="L26" s="50" t="n">
        <f aca="false">IF(C26="",0,C26*IF(D26="USD",הגדרות!$B$5,IF(D26="EUR",הגדרות!$B$6,1)))</f>
        <v>0</v>
      </c>
      <c r="M26" s="50" t="n">
        <f aca="false">IF(OR(C26="",G26="בוטל"),0,IF(OR(E26="חודשי",E26="לפי שימוש"),L26,IF(E26="שנתי",L26/12,0)))</f>
        <v>0</v>
      </c>
    </row>
    <row r="27" customFormat="false" ht="15" hidden="false" customHeight="false" outlineLevel="0" collapsed="false">
      <c r="A27" s="43"/>
      <c r="B27" s="30"/>
      <c r="C27" s="48"/>
      <c r="D27" s="30"/>
      <c r="E27" s="30"/>
      <c r="F27" s="30"/>
      <c r="G27" s="30"/>
      <c r="H27" s="44"/>
      <c r="I27" s="44"/>
      <c r="J27" s="30"/>
      <c r="K27" s="43"/>
      <c r="L27" s="49" t="n">
        <f aca="false">IF(C27="",0,C27*IF(D27="USD",הגדרות!$B$5,IF(D27="EUR",הגדרות!$B$6,1)))</f>
        <v>0</v>
      </c>
      <c r="M27" s="49" t="n">
        <f aca="false">IF(OR(C27="",G27="בוטל"),0,IF(OR(E27="חודשי",E27="לפי שימוש"),L27,IF(E27="שנתי",L27/12,0)))</f>
        <v>0</v>
      </c>
    </row>
    <row r="28" customFormat="false" ht="15" hidden="false" customHeight="false" outlineLevel="0" collapsed="false">
      <c r="A28" s="43"/>
      <c r="B28" s="30"/>
      <c r="C28" s="48"/>
      <c r="D28" s="30"/>
      <c r="E28" s="30"/>
      <c r="F28" s="30"/>
      <c r="G28" s="30"/>
      <c r="H28" s="44"/>
      <c r="I28" s="44"/>
      <c r="J28" s="30"/>
      <c r="K28" s="43"/>
      <c r="L28" s="50" t="n">
        <f aca="false">IF(C28="",0,C28*IF(D28="USD",הגדרות!$B$5,IF(D28="EUR",הגדרות!$B$6,1)))</f>
        <v>0</v>
      </c>
      <c r="M28" s="50" t="n">
        <f aca="false">IF(OR(C28="",G28="בוטל"),0,IF(OR(E28="חודשי",E28="לפי שימוש"),L28,IF(E28="שנתי",L28/12,0)))</f>
        <v>0</v>
      </c>
    </row>
    <row r="29" customFormat="false" ht="15" hidden="false" customHeight="false" outlineLevel="0" collapsed="false">
      <c r="A29" s="43"/>
      <c r="B29" s="30"/>
      <c r="C29" s="48"/>
      <c r="D29" s="30"/>
      <c r="E29" s="30"/>
      <c r="F29" s="30"/>
      <c r="G29" s="30"/>
      <c r="H29" s="44"/>
      <c r="I29" s="44"/>
      <c r="J29" s="30"/>
      <c r="K29" s="43"/>
      <c r="L29" s="49" t="n">
        <f aca="false">IF(C29="",0,C29*IF(D29="USD",הגדרות!$B$5,IF(D29="EUR",הגדרות!$B$6,1)))</f>
        <v>0</v>
      </c>
      <c r="M29" s="49" t="n">
        <f aca="false">IF(OR(C29="",G29="בוטל"),0,IF(OR(E29="חודשי",E29="לפי שימוש"),L29,IF(E29="שנתי",L29/12,0)))</f>
        <v>0</v>
      </c>
    </row>
    <row r="30" customFormat="false" ht="15" hidden="false" customHeight="false" outlineLevel="0" collapsed="false">
      <c r="A30" s="43"/>
      <c r="B30" s="30"/>
      <c r="C30" s="48"/>
      <c r="D30" s="30"/>
      <c r="E30" s="30"/>
      <c r="F30" s="30"/>
      <c r="G30" s="30"/>
      <c r="H30" s="44"/>
      <c r="I30" s="44"/>
      <c r="J30" s="30"/>
      <c r="K30" s="43"/>
      <c r="L30" s="50" t="n">
        <f aca="false">IF(C30="",0,C30*IF(D30="USD",הגדרות!$B$5,IF(D30="EUR",הגדרות!$B$6,1)))</f>
        <v>0</v>
      </c>
      <c r="M30" s="50" t="n">
        <f aca="false">IF(OR(C30="",G30="בוטל"),0,IF(OR(E30="חודשי",E30="לפי שימוש"),L30,IF(E30="שנתי",L30/12,0)))</f>
        <v>0</v>
      </c>
    </row>
    <row r="31" customFormat="false" ht="15" hidden="false" customHeight="false" outlineLevel="0" collapsed="false">
      <c r="A31" s="51" t="s">
        <v>117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2" t="n">
        <f aca="false">SUM(M5:M30)</f>
        <v>409.5</v>
      </c>
    </row>
    <row r="34" customFormat="false" ht="15" hidden="false" customHeight="false" outlineLevel="0" collapsed="false">
      <c r="A34" s="3" t="s">
        <v>118</v>
      </c>
    </row>
    <row r="35" customFormat="false" ht="36" hidden="false" customHeight="true" outlineLevel="0" collapsed="false">
      <c r="A35" s="53" t="s">
        <v>75</v>
      </c>
      <c r="B35" s="53" t="s">
        <v>85</v>
      </c>
    </row>
    <row r="36" customFormat="false" ht="15" hidden="false" customHeight="false" outlineLevel="0" collapsed="false">
      <c r="A36" s="33" t="s">
        <v>87</v>
      </c>
      <c r="B36" s="49" t="n">
        <f aca="false">SUMIFS($M$5:$M$30,$B$5:$B$30,A36)</f>
        <v>18.5</v>
      </c>
    </row>
    <row r="37" customFormat="false" ht="15" hidden="false" customHeight="false" outlineLevel="0" collapsed="false">
      <c r="A37" s="38" t="s">
        <v>104</v>
      </c>
      <c r="B37" s="50" t="n">
        <f aca="false">SUMIFS($M$5:$M$30,$B$5:$B$30,A37)</f>
        <v>40.7</v>
      </c>
    </row>
    <row r="38" customFormat="false" ht="15" hidden="false" customHeight="false" outlineLevel="0" collapsed="false">
      <c r="A38" s="33" t="s">
        <v>95</v>
      </c>
      <c r="B38" s="49" t="n">
        <f aca="false">SUMIFS($M$5:$M$30,$B$5:$B$30,A38)</f>
        <v>350.3</v>
      </c>
    </row>
    <row r="39" customFormat="false" ht="15" hidden="false" customHeight="false" outlineLevel="0" collapsed="false">
      <c r="A39" s="38" t="s">
        <v>99</v>
      </c>
      <c r="B39" s="50" t="n">
        <f aca="false">SUMIFS($M$5:$M$30,$B$5:$B$30,A39)</f>
        <v>0</v>
      </c>
    </row>
    <row r="40" customFormat="false" ht="15" hidden="false" customHeight="false" outlineLevel="0" collapsed="false">
      <c r="A40" s="33" t="s">
        <v>119</v>
      </c>
      <c r="B40" s="49" t="n">
        <f aca="false">SUMIFS($M$5:$M$30,$B$5:$B$30,A40)</f>
        <v>0</v>
      </c>
    </row>
    <row r="41" customFormat="false" ht="15" hidden="false" customHeight="false" outlineLevel="0" collapsed="false">
      <c r="A41" s="38" t="s">
        <v>120</v>
      </c>
      <c r="B41" s="50" t="n">
        <f aca="false">SUMIFS($M$5:$M$30,$B$5:$B$30,A41)</f>
        <v>0</v>
      </c>
    </row>
    <row r="42" customFormat="false" ht="15" hidden="false" customHeight="false" outlineLevel="0" collapsed="false">
      <c r="A42" s="33" t="s">
        <v>121</v>
      </c>
      <c r="B42" s="49" t="n">
        <f aca="false">SUMIFS($M$5:$M$30,$B$5:$B$30,A42)</f>
        <v>0</v>
      </c>
    </row>
  </sheetData>
  <autoFilter ref="A4:M30"/>
  <mergeCells count="2">
    <mergeCell ref="A1:M1"/>
    <mergeCell ref="A2:M2"/>
  </mergeCells>
  <conditionalFormatting sqref="G5:G30">
    <cfRule type="cellIs" priority="2" operator="equal" aboveAverage="0" equalAverage="0" bottom="0" percent="0" rank="0" text="" dxfId="0">
      <formula>"פעיל"</formula>
    </cfRule>
    <cfRule type="cellIs" priority="3" operator="equal" aboveAverage="0" equalAverage="0" bottom="0" percent="0" rank="0" text="" dxfId="16">
      <formula>"מתוכנן"</formula>
    </cfRule>
    <cfRule type="cellIs" priority="4" operator="equal" aboveAverage="0" equalAverage="0" bottom="0" percent="0" rank="0" text="" dxfId="21">
      <formula>"בוטל"</formula>
    </cfRule>
  </conditionalFormatting>
  <conditionalFormatting sqref="M5:M30">
    <cfRule type="dataBar" priority="5">
      <dataBar showValue="1" minLength="10" maxLength="90">
        <cfvo type="num" val="0"/>
        <cfvo type="max" val="0"/>
        <color rgb="FFF1948A"/>
      </dataBar>
      <extLst>
        <ext xmlns:x14="http://schemas.microsoft.com/office/spreadsheetml/2009/9/main" uri="{B025F937-C7B1-47D3-B67F-A62EFF666E3E}">
          <x14:id>{8DFC8A4B-B0F0-4145-AB27-442B78E2A941}</x14:id>
        </ext>
      </extLst>
    </cfRule>
  </conditionalFormatting>
  <dataValidations count="5">
    <dataValidation allowBlank="true" errorStyle="stop" operator="between" showDropDown="false" showErrorMessage="false" showInputMessage="false" sqref="B5:B30" type="list">
      <formula1>"שרת,AI,וואטסאפ,כלים,שיווק,הנהלת חשבונות,אחר"</formula1>
      <formula2>0</formula2>
    </dataValidation>
    <dataValidation allowBlank="true" errorStyle="stop" operator="between" showDropDown="false" showErrorMessage="false" showInputMessage="false" sqref="D5:D30" type="list">
      <formula1>"ILS,USD,EUR"</formula1>
      <formula2>0</formula2>
    </dataValidation>
    <dataValidation allowBlank="true" errorStyle="stop" operator="between" showDropDown="false" showErrorMessage="false" showInputMessage="false" sqref="E5:E30" type="list">
      <formula1>"חודשי,שנתי,חד-פעמי,לפי שימוש"</formula1>
      <formula2>0</formula2>
    </dataValidation>
    <dataValidation allowBlank="true" errorStyle="stop" operator="between" showDropDown="false" showErrorMessage="false" showInputMessage="false" sqref="F5:F30" type="list">
      <formula1>"קבוע,לכל לקוח"</formula1>
      <formula2>0</formula2>
    </dataValidation>
    <dataValidation allowBlank="true" errorStyle="stop" operator="between" showDropDown="false" showErrorMessage="false" showInputMessage="false" sqref="G5:G30" type="list">
      <formula1>"פעיל,מתוכנן,בוטל"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FC8A4B-B0F0-4145-AB27-442B78E2A941}">
            <x14:dataBar minLength="10" maxLength="90" axisPosition="none" gradient="true">
              <x14:cfvo type="num">
                <xm:f>0</xm:f>
              </x14:cfvo>
              <x14:cfvo type="max"/>
              <x14:negativeFillColor rgb="FFF1948A"/>
              <x14:axisColor rgb="FF000000"/>
            </x14:dataBar>
          </x14:cfRule>
          <xm:sqref>M5:M30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I2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7" min="5" style="0" width="13"/>
    <col collapsed="false" customWidth="true" hidden="false" outlineLevel="0" max="8" min="8" style="0" width="16"/>
    <col collapsed="false" customWidth="true" hidden="false" outlineLevel="0" max="9" min="9" style="0" width="24"/>
  </cols>
  <sheetData>
    <row r="1" customFormat="false" ht="33.75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123</v>
      </c>
      <c r="B2" s="2"/>
      <c r="C2" s="2"/>
      <c r="D2" s="2"/>
      <c r="E2" s="2"/>
      <c r="F2" s="2"/>
      <c r="G2" s="2"/>
      <c r="H2" s="2"/>
      <c r="I2" s="2"/>
    </row>
    <row r="4" customFormat="false" ht="36" hidden="false" customHeight="true" outlineLevel="0" collapsed="false">
      <c r="A4" s="27" t="s">
        <v>124</v>
      </c>
      <c r="B4" s="27" t="s">
        <v>125</v>
      </c>
      <c r="C4" s="27" t="s">
        <v>32</v>
      </c>
      <c r="D4" s="27" t="s">
        <v>126</v>
      </c>
      <c r="E4" s="27" t="s">
        <v>127</v>
      </c>
      <c r="F4" s="27" t="s">
        <v>128</v>
      </c>
      <c r="G4" s="27" t="s">
        <v>129</v>
      </c>
      <c r="H4" s="27" t="s">
        <v>130</v>
      </c>
      <c r="I4" s="27" t="s">
        <v>131</v>
      </c>
    </row>
    <row r="5" customFormat="false" ht="15" hidden="false" customHeight="false" outlineLevel="0" collapsed="false">
      <c r="A5" s="54" t="n">
        <v>1</v>
      </c>
      <c r="B5" s="31" t="n">
        <f aca="false">הגדרות!$B$7+(A5-1)*הגדרות!$B$8</f>
        <v>500</v>
      </c>
      <c r="C5" s="31" t="n">
        <f aca="false">הגדרות!$B$15</f>
        <v>162.8</v>
      </c>
      <c r="D5" s="31" t="n">
        <f aca="false">A5*הגדרות!$B$14</f>
        <v>246.7</v>
      </c>
      <c r="E5" s="31" t="n">
        <f aca="false">B5-C5-D5</f>
        <v>90.5</v>
      </c>
      <c r="F5" s="31" t="n">
        <f aca="false">E5/A5</f>
        <v>90.5</v>
      </c>
      <c r="G5" s="31" t="n">
        <f aca="false">E5*12</f>
        <v>1086</v>
      </c>
      <c r="H5" s="31" t="n">
        <f aca="false">B5*12</f>
        <v>6000</v>
      </c>
      <c r="I5" s="33" t="str">
        <f aca="false">IF(H5&gt;הגדרות!$B$10,"⚠️ כן, לעבור לעוסק מורשה","✅ לא")</f>
        <v>✅ לא</v>
      </c>
    </row>
    <row r="6" customFormat="false" ht="15" hidden="false" customHeight="false" outlineLevel="0" collapsed="false">
      <c r="A6" s="55" t="n">
        <v>2</v>
      </c>
      <c r="B6" s="36" t="n">
        <f aca="false">הגדרות!$B$7+(A6-1)*הגדרות!$B$8</f>
        <v>1090</v>
      </c>
      <c r="C6" s="36" t="n">
        <f aca="false">הגדרות!$B$15</f>
        <v>162.8</v>
      </c>
      <c r="D6" s="36" t="n">
        <f aca="false">A6*הגדרות!$B$14</f>
        <v>493.4</v>
      </c>
      <c r="E6" s="36" t="n">
        <f aca="false">B6-C6-D6</f>
        <v>433.8</v>
      </c>
      <c r="F6" s="36" t="n">
        <f aca="false">E6/A6</f>
        <v>216.9</v>
      </c>
      <c r="G6" s="36" t="n">
        <f aca="false">E6*12</f>
        <v>5205.6</v>
      </c>
      <c r="H6" s="36" t="n">
        <f aca="false">B6*12</f>
        <v>13080</v>
      </c>
      <c r="I6" s="38" t="str">
        <f aca="false">IF(H6&gt;הגדרות!$B$10,"⚠️ כן, לעבור לעוסק מורשה","✅ לא")</f>
        <v>✅ לא</v>
      </c>
    </row>
    <row r="7" customFormat="false" ht="15" hidden="false" customHeight="false" outlineLevel="0" collapsed="false">
      <c r="A7" s="54" t="n">
        <v>3</v>
      </c>
      <c r="B7" s="31" t="n">
        <f aca="false">הגדרות!$B$7+(A7-1)*הגדרות!$B$8</f>
        <v>1680</v>
      </c>
      <c r="C7" s="31" t="n">
        <f aca="false">הגדרות!$B$15</f>
        <v>162.8</v>
      </c>
      <c r="D7" s="31" t="n">
        <f aca="false">A7*הגדרות!$B$14</f>
        <v>740.1</v>
      </c>
      <c r="E7" s="31" t="n">
        <f aca="false">B7-C7-D7</f>
        <v>777.1</v>
      </c>
      <c r="F7" s="31" t="n">
        <f aca="false">E7/A7</f>
        <v>259.033333333333</v>
      </c>
      <c r="G7" s="31" t="n">
        <f aca="false">E7*12</f>
        <v>9325.2</v>
      </c>
      <c r="H7" s="31" t="n">
        <f aca="false">B7*12</f>
        <v>20160</v>
      </c>
      <c r="I7" s="33" t="str">
        <f aca="false">IF(H7&gt;הגדרות!$B$10,"⚠️ כן, לעבור לעוסק מורשה","✅ לא")</f>
        <v>✅ לא</v>
      </c>
    </row>
    <row r="8" customFormat="false" ht="15" hidden="false" customHeight="false" outlineLevel="0" collapsed="false">
      <c r="A8" s="55" t="n">
        <v>4</v>
      </c>
      <c r="B8" s="36" t="n">
        <f aca="false">הגדרות!$B$7+(A8-1)*הגדרות!$B$8</f>
        <v>2270</v>
      </c>
      <c r="C8" s="36" t="n">
        <f aca="false">הגדרות!$B$15</f>
        <v>162.8</v>
      </c>
      <c r="D8" s="36" t="n">
        <f aca="false">A8*הגדרות!$B$14</f>
        <v>986.8</v>
      </c>
      <c r="E8" s="36" t="n">
        <f aca="false">B8-C8-D8</f>
        <v>1120.4</v>
      </c>
      <c r="F8" s="36" t="n">
        <f aca="false">E8/A8</f>
        <v>280.1</v>
      </c>
      <c r="G8" s="36" t="n">
        <f aca="false">E8*12</f>
        <v>13444.8</v>
      </c>
      <c r="H8" s="36" t="n">
        <f aca="false">B8*12</f>
        <v>27240</v>
      </c>
      <c r="I8" s="38" t="str">
        <f aca="false">IF(H8&gt;הגדרות!$B$10,"⚠️ כן, לעבור לעוסק מורשה","✅ לא")</f>
        <v>✅ לא</v>
      </c>
    </row>
    <row r="9" customFormat="false" ht="15" hidden="false" customHeight="false" outlineLevel="0" collapsed="false">
      <c r="A9" s="54" t="n">
        <v>5</v>
      </c>
      <c r="B9" s="31" t="n">
        <f aca="false">הגדרות!$B$7+(A9-1)*הגדרות!$B$8</f>
        <v>2860</v>
      </c>
      <c r="C9" s="31" t="n">
        <f aca="false">הגדרות!$B$15</f>
        <v>162.8</v>
      </c>
      <c r="D9" s="31" t="n">
        <f aca="false">A9*הגדרות!$B$14</f>
        <v>1233.5</v>
      </c>
      <c r="E9" s="31" t="n">
        <f aca="false">B9-C9-D9</f>
        <v>1463.7</v>
      </c>
      <c r="F9" s="31" t="n">
        <f aca="false">E9/A9</f>
        <v>292.74</v>
      </c>
      <c r="G9" s="31" t="n">
        <f aca="false">E9*12</f>
        <v>17564.4</v>
      </c>
      <c r="H9" s="31" t="n">
        <f aca="false">B9*12</f>
        <v>34320</v>
      </c>
      <c r="I9" s="33" t="str">
        <f aca="false">IF(H9&gt;הגדרות!$B$10,"⚠️ כן, לעבור לעוסק מורשה","✅ לא")</f>
        <v>✅ לא</v>
      </c>
    </row>
    <row r="10" customFormat="false" ht="15" hidden="false" customHeight="false" outlineLevel="0" collapsed="false">
      <c r="A10" s="55" t="n">
        <v>6</v>
      </c>
      <c r="B10" s="36" t="n">
        <f aca="false">הגדרות!$B$7+(A10-1)*הגדרות!$B$8</f>
        <v>3450</v>
      </c>
      <c r="C10" s="36" t="n">
        <f aca="false">הגדרות!$B$15</f>
        <v>162.8</v>
      </c>
      <c r="D10" s="36" t="n">
        <f aca="false">A10*הגדרות!$B$14</f>
        <v>1480.2</v>
      </c>
      <c r="E10" s="36" t="n">
        <f aca="false">B10-C10-D10</f>
        <v>1807</v>
      </c>
      <c r="F10" s="36" t="n">
        <f aca="false">E10/A10</f>
        <v>301.166666666667</v>
      </c>
      <c r="G10" s="36" t="n">
        <f aca="false">E10*12</f>
        <v>21684</v>
      </c>
      <c r="H10" s="36" t="n">
        <f aca="false">B10*12</f>
        <v>41400</v>
      </c>
      <c r="I10" s="38" t="str">
        <f aca="false">IF(H10&gt;הגדרות!$B$10,"⚠️ כן, לעבור לעוסק מורשה","✅ לא")</f>
        <v>✅ לא</v>
      </c>
    </row>
    <row r="11" customFormat="false" ht="15" hidden="false" customHeight="false" outlineLevel="0" collapsed="false">
      <c r="A11" s="54" t="n">
        <v>7</v>
      </c>
      <c r="B11" s="31" t="n">
        <f aca="false">הגדרות!$B$7+(A11-1)*הגדרות!$B$8</f>
        <v>4040</v>
      </c>
      <c r="C11" s="31" t="n">
        <f aca="false">הגדרות!$B$15</f>
        <v>162.8</v>
      </c>
      <c r="D11" s="31" t="n">
        <f aca="false">A11*הגדרות!$B$14</f>
        <v>1726.9</v>
      </c>
      <c r="E11" s="31" t="n">
        <f aca="false">B11-C11-D11</f>
        <v>2150.3</v>
      </c>
      <c r="F11" s="31" t="n">
        <f aca="false">E11/A11</f>
        <v>307.185714285714</v>
      </c>
      <c r="G11" s="31" t="n">
        <f aca="false">E11*12</f>
        <v>25803.6</v>
      </c>
      <c r="H11" s="31" t="n">
        <f aca="false">B11*12</f>
        <v>48480</v>
      </c>
      <c r="I11" s="33" t="str">
        <f aca="false">IF(H11&gt;הגדרות!$B$10,"⚠️ כן, לעבור לעוסק מורשה","✅ לא")</f>
        <v>✅ לא</v>
      </c>
    </row>
    <row r="12" customFormat="false" ht="15" hidden="false" customHeight="false" outlineLevel="0" collapsed="false">
      <c r="A12" s="55" t="n">
        <v>8</v>
      </c>
      <c r="B12" s="36" t="n">
        <f aca="false">הגדרות!$B$7+(A12-1)*הגדרות!$B$8</f>
        <v>4630</v>
      </c>
      <c r="C12" s="36" t="n">
        <f aca="false">הגדרות!$B$15</f>
        <v>162.8</v>
      </c>
      <c r="D12" s="36" t="n">
        <f aca="false">A12*הגדרות!$B$14</f>
        <v>1973.6</v>
      </c>
      <c r="E12" s="36" t="n">
        <f aca="false">B12-C12-D12</f>
        <v>2493.6</v>
      </c>
      <c r="F12" s="36" t="n">
        <f aca="false">E12/A12</f>
        <v>311.7</v>
      </c>
      <c r="G12" s="36" t="n">
        <f aca="false">E12*12</f>
        <v>29923.2</v>
      </c>
      <c r="H12" s="36" t="n">
        <f aca="false">B12*12</f>
        <v>55560</v>
      </c>
      <c r="I12" s="38" t="str">
        <f aca="false">IF(H12&gt;הגדרות!$B$10,"⚠️ כן, לעבור לעוסק מורשה","✅ לא")</f>
        <v>✅ לא</v>
      </c>
    </row>
    <row r="13" customFormat="false" ht="15" hidden="false" customHeight="false" outlineLevel="0" collapsed="false">
      <c r="A13" s="54" t="n">
        <v>9</v>
      </c>
      <c r="B13" s="31" t="n">
        <f aca="false">הגדרות!$B$7+(A13-1)*הגדרות!$B$8</f>
        <v>5220</v>
      </c>
      <c r="C13" s="31" t="n">
        <f aca="false">הגדרות!$B$15</f>
        <v>162.8</v>
      </c>
      <c r="D13" s="31" t="n">
        <f aca="false">A13*הגדרות!$B$14</f>
        <v>2220.3</v>
      </c>
      <c r="E13" s="31" t="n">
        <f aca="false">B13-C13-D13</f>
        <v>2836.9</v>
      </c>
      <c r="F13" s="31" t="n">
        <f aca="false">E13/A13</f>
        <v>315.211111111111</v>
      </c>
      <c r="G13" s="31" t="n">
        <f aca="false">E13*12</f>
        <v>34042.8</v>
      </c>
      <c r="H13" s="31" t="n">
        <f aca="false">B13*12</f>
        <v>62640</v>
      </c>
      <c r="I13" s="33" t="str">
        <f aca="false">IF(H13&gt;הגדרות!$B$10,"⚠️ כן, לעבור לעוסק מורשה","✅ לא")</f>
        <v>✅ לא</v>
      </c>
    </row>
    <row r="14" customFormat="false" ht="15" hidden="false" customHeight="false" outlineLevel="0" collapsed="false">
      <c r="A14" s="55" t="n">
        <v>10</v>
      </c>
      <c r="B14" s="36" t="n">
        <f aca="false">הגדרות!$B$7+(A14-1)*הגדרות!$B$8</f>
        <v>5810</v>
      </c>
      <c r="C14" s="36" t="n">
        <f aca="false">הגדרות!$B$15</f>
        <v>162.8</v>
      </c>
      <c r="D14" s="36" t="n">
        <f aca="false">A14*הגדרות!$B$14</f>
        <v>2467</v>
      </c>
      <c r="E14" s="36" t="n">
        <f aca="false">B14-C14-D14</f>
        <v>3180.2</v>
      </c>
      <c r="F14" s="36" t="n">
        <f aca="false">E14/A14</f>
        <v>318.02</v>
      </c>
      <c r="G14" s="36" t="n">
        <f aca="false">E14*12</f>
        <v>38162.4</v>
      </c>
      <c r="H14" s="36" t="n">
        <f aca="false">B14*12</f>
        <v>69720</v>
      </c>
      <c r="I14" s="38" t="str">
        <f aca="false">IF(H14&gt;הגדרות!$B$10,"⚠️ כן, לעבור לעוסק מורשה","✅ לא")</f>
        <v>✅ לא</v>
      </c>
    </row>
    <row r="15" customFormat="false" ht="15" hidden="false" customHeight="false" outlineLevel="0" collapsed="false">
      <c r="A15" s="54" t="n">
        <v>11</v>
      </c>
      <c r="B15" s="31" t="n">
        <f aca="false">הגדרות!$B$7+(A15-1)*הגדרות!$B$8</f>
        <v>6400</v>
      </c>
      <c r="C15" s="31" t="n">
        <f aca="false">הגדרות!$B$15</f>
        <v>162.8</v>
      </c>
      <c r="D15" s="31" t="n">
        <f aca="false">A15*הגדרות!$B$14</f>
        <v>2713.7</v>
      </c>
      <c r="E15" s="31" t="n">
        <f aca="false">B15-C15-D15</f>
        <v>3523.5</v>
      </c>
      <c r="F15" s="31" t="n">
        <f aca="false">E15/A15</f>
        <v>320.318181818182</v>
      </c>
      <c r="G15" s="31" t="n">
        <f aca="false">E15*12</f>
        <v>42282</v>
      </c>
      <c r="H15" s="31" t="n">
        <f aca="false">B15*12</f>
        <v>76800</v>
      </c>
      <c r="I15" s="33" t="str">
        <f aca="false">IF(H15&gt;הגדרות!$B$10,"⚠️ כן, לעבור לעוסק מורשה","✅ לא")</f>
        <v>✅ לא</v>
      </c>
    </row>
    <row r="16" customFormat="false" ht="15" hidden="false" customHeight="false" outlineLevel="0" collapsed="false">
      <c r="A16" s="55" t="n">
        <v>12</v>
      </c>
      <c r="B16" s="36" t="n">
        <f aca="false">הגדרות!$B$7+(A16-1)*הגדרות!$B$8</f>
        <v>6990</v>
      </c>
      <c r="C16" s="36" t="n">
        <f aca="false">הגדרות!$B$15</f>
        <v>162.8</v>
      </c>
      <c r="D16" s="36" t="n">
        <f aca="false">A16*הגדרות!$B$14</f>
        <v>2960.4</v>
      </c>
      <c r="E16" s="36" t="n">
        <f aca="false">B16-C16-D16</f>
        <v>3866.8</v>
      </c>
      <c r="F16" s="36" t="n">
        <f aca="false">E16/A16</f>
        <v>322.233333333333</v>
      </c>
      <c r="G16" s="36" t="n">
        <f aca="false">E16*12</f>
        <v>46401.6</v>
      </c>
      <c r="H16" s="36" t="n">
        <f aca="false">B16*12</f>
        <v>83880</v>
      </c>
      <c r="I16" s="38" t="str">
        <f aca="false">IF(H16&gt;הגדרות!$B$10,"⚠️ כן, לעבור לעוסק מורשה","✅ לא")</f>
        <v>✅ לא</v>
      </c>
    </row>
    <row r="17" customFormat="false" ht="15" hidden="false" customHeight="false" outlineLevel="0" collapsed="false">
      <c r="A17" s="54" t="n">
        <v>13</v>
      </c>
      <c r="B17" s="31" t="n">
        <f aca="false">הגדרות!$B$7+(A17-1)*הגדרות!$B$8</f>
        <v>7580</v>
      </c>
      <c r="C17" s="31" t="n">
        <f aca="false">הגדרות!$B$15</f>
        <v>162.8</v>
      </c>
      <c r="D17" s="31" t="n">
        <f aca="false">A17*הגדרות!$B$14</f>
        <v>3207.1</v>
      </c>
      <c r="E17" s="31" t="n">
        <f aca="false">B17-C17-D17</f>
        <v>4210.1</v>
      </c>
      <c r="F17" s="31" t="n">
        <f aca="false">E17/A17</f>
        <v>323.853846153846</v>
      </c>
      <c r="G17" s="31" t="n">
        <f aca="false">E17*12</f>
        <v>50521.2</v>
      </c>
      <c r="H17" s="31" t="n">
        <f aca="false">B17*12</f>
        <v>90960</v>
      </c>
      <c r="I17" s="33" t="str">
        <f aca="false">IF(H17&gt;הגדרות!$B$10,"⚠️ כן, לעבור לעוסק מורשה","✅ לא")</f>
        <v>✅ לא</v>
      </c>
    </row>
    <row r="18" customFormat="false" ht="15" hidden="false" customHeight="false" outlineLevel="0" collapsed="false">
      <c r="A18" s="55" t="n">
        <v>14</v>
      </c>
      <c r="B18" s="36" t="n">
        <f aca="false">הגדרות!$B$7+(A18-1)*הגדרות!$B$8</f>
        <v>8170</v>
      </c>
      <c r="C18" s="36" t="n">
        <f aca="false">הגדרות!$B$15</f>
        <v>162.8</v>
      </c>
      <c r="D18" s="36" t="n">
        <f aca="false">A18*הגדרות!$B$14</f>
        <v>3453.8</v>
      </c>
      <c r="E18" s="36" t="n">
        <f aca="false">B18-C18-D18</f>
        <v>4553.4</v>
      </c>
      <c r="F18" s="36" t="n">
        <f aca="false">E18/A18</f>
        <v>325.242857142857</v>
      </c>
      <c r="G18" s="36" t="n">
        <f aca="false">E18*12</f>
        <v>54640.8</v>
      </c>
      <c r="H18" s="36" t="n">
        <f aca="false">B18*12</f>
        <v>98040</v>
      </c>
      <c r="I18" s="38" t="str">
        <f aca="false">IF(H18&gt;הגדרות!$B$10,"⚠️ כן, לעבור לעוסק מורשה","✅ לא")</f>
        <v>✅ לא</v>
      </c>
    </row>
    <row r="19" customFormat="false" ht="15" hidden="false" customHeight="false" outlineLevel="0" collapsed="false">
      <c r="A19" s="54" t="n">
        <v>15</v>
      </c>
      <c r="B19" s="31" t="n">
        <f aca="false">הגדרות!$B$7+(A19-1)*הגדרות!$B$8</f>
        <v>8760</v>
      </c>
      <c r="C19" s="31" t="n">
        <f aca="false">הגדרות!$B$15</f>
        <v>162.8</v>
      </c>
      <c r="D19" s="31" t="n">
        <f aca="false">A19*הגדרות!$B$14</f>
        <v>3700.5</v>
      </c>
      <c r="E19" s="31" t="n">
        <f aca="false">B19-C19-D19</f>
        <v>4896.7</v>
      </c>
      <c r="F19" s="31" t="n">
        <f aca="false">E19/A19</f>
        <v>326.446666666667</v>
      </c>
      <c r="G19" s="31" t="n">
        <f aca="false">E19*12</f>
        <v>58760.4</v>
      </c>
      <c r="H19" s="31" t="n">
        <f aca="false">B19*12</f>
        <v>105120</v>
      </c>
      <c r="I19" s="33" t="str">
        <f aca="false">IF(H19&gt;הגדרות!$B$10,"⚠️ כן, לעבור לעוסק מורשה","✅ לא")</f>
        <v>✅ לא</v>
      </c>
    </row>
    <row r="20" customFormat="false" ht="15" hidden="false" customHeight="false" outlineLevel="0" collapsed="false">
      <c r="A20" s="55" t="n">
        <v>16</v>
      </c>
      <c r="B20" s="36" t="n">
        <f aca="false">הגדרות!$B$7+(A20-1)*הגדרות!$B$8</f>
        <v>9350</v>
      </c>
      <c r="C20" s="36" t="n">
        <f aca="false">הגדרות!$B$15</f>
        <v>162.8</v>
      </c>
      <c r="D20" s="36" t="n">
        <f aca="false">A20*הגדרות!$B$14</f>
        <v>3947.2</v>
      </c>
      <c r="E20" s="36" t="n">
        <f aca="false">B20-C20-D20</f>
        <v>5240</v>
      </c>
      <c r="F20" s="36" t="n">
        <f aca="false">E20/A20</f>
        <v>327.5</v>
      </c>
      <c r="G20" s="36" t="n">
        <f aca="false">E20*12</f>
        <v>62880</v>
      </c>
      <c r="H20" s="36" t="n">
        <f aca="false">B20*12</f>
        <v>112200</v>
      </c>
      <c r="I20" s="38" t="str">
        <f aca="false">IF(H20&gt;הגדרות!$B$10,"⚠️ כן, לעבור לעוסק מורשה","✅ לא")</f>
        <v>✅ לא</v>
      </c>
    </row>
    <row r="21" customFormat="false" ht="15" hidden="false" customHeight="false" outlineLevel="0" collapsed="false">
      <c r="A21" s="54" t="n">
        <v>17</v>
      </c>
      <c r="B21" s="31" t="n">
        <f aca="false">הגדרות!$B$7+(A21-1)*הגדרות!$B$8</f>
        <v>9940</v>
      </c>
      <c r="C21" s="31" t="n">
        <f aca="false">הגדרות!$B$15</f>
        <v>162.8</v>
      </c>
      <c r="D21" s="31" t="n">
        <f aca="false">A21*הגדרות!$B$14</f>
        <v>4193.9</v>
      </c>
      <c r="E21" s="31" t="n">
        <f aca="false">B21-C21-D21</f>
        <v>5583.3</v>
      </c>
      <c r="F21" s="31" t="n">
        <f aca="false">E21/A21</f>
        <v>328.429411764706</v>
      </c>
      <c r="G21" s="31" t="n">
        <f aca="false">E21*12</f>
        <v>66999.6</v>
      </c>
      <c r="H21" s="31" t="n">
        <f aca="false">B21*12</f>
        <v>119280</v>
      </c>
      <c r="I21" s="33" t="str">
        <f aca="false">IF(H21&gt;הגדרות!$B$10,"⚠️ כן, לעבור לעוסק מורשה","✅ לא")</f>
        <v>✅ לא</v>
      </c>
    </row>
    <row r="22" customFormat="false" ht="26.85" hidden="false" customHeight="false" outlineLevel="0" collapsed="false">
      <c r="A22" s="55" t="n">
        <v>18</v>
      </c>
      <c r="B22" s="36" t="n">
        <f aca="false">הגדרות!$B$7+(A22-1)*הגדרות!$B$8</f>
        <v>10530</v>
      </c>
      <c r="C22" s="36" t="n">
        <f aca="false">הגדרות!$B$15</f>
        <v>162.8</v>
      </c>
      <c r="D22" s="36" t="n">
        <f aca="false">A22*הגדרות!$B$14</f>
        <v>4440.6</v>
      </c>
      <c r="E22" s="36" t="n">
        <f aca="false">B22-C22-D22</f>
        <v>5926.6</v>
      </c>
      <c r="F22" s="36" t="n">
        <f aca="false">E22/A22</f>
        <v>329.255555555556</v>
      </c>
      <c r="G22" s="36" t="n">
        <f aca="false">E22*12</f>
        <v>71119.2</v>
      </c>
      <c r="H22" s="36" t="n">
        <f aca="false">B22*12</f>
        <v>126360</v>
      </c>
      <c r="I22" s="38" t="str">
        <f aca="false">IF(H22&gt;הגדרות!$B$10,"⚠️ כן, לעבור לעוסק מורשה","✅ לא")</f>
        <v>⚠️ כן, לעבור לעוסק מורשה</v>
      </c>
    </row>
    <row r="23" customFormat="false" ht="26.85" hidden="false" customHeight="false" outlineLevel="0" collapsed="false">
      <c r="A23" s="54" t="n">
        <v>19</v>
      </c>
      <c r="B23" s="31" t="n">
        <f aca="false">הגדרות!$B$7+(A23-1)*הגדרות!$B$8</f>
        <v>11120</v>
      </c>
      <c r="C23" s="31" t="n">
        <f aca="false">הגדרות!$B$15</f>
        <v>162.8</v>
      </c>
      <c r="D23" s="31" t="n">
        <f aca="false">A23*הגדרות!$B$14</f>
        <v>4687.3</v>
      </c>
      <c r="E23" s="31" t="n">
        <f aca="false">B23-C23-D23</f>
        <v>6269.9</v>
      </c>
      <c r="F23" s="31" t="n">
        <f aca="false">E23/A23</f>
        <v>329.994736842105</v>
      </c>
      <c r="G23" s="31" t="n">
        <f aca="false">E23*12</f>
        <v>75238.8</v>
      </c>
      <c r="H23" s="31" t="n">
        <f aca="false">B23*12</f>
        <v>133440</v>
      </c>
      <c r="I23" s="33" t="str">
        <f aca="false">IF(H23&gt;הגדרות!$B$10,"⚠️ כן, לעבור לעוסק מורשה","✅ לא")</f>
        <v>⚠️ כן, לעבור לעוסק מורשה</v>
      </c>
    </row>
    <row r="24" customFormat="false" ht="26.85" hidden="false" customHeight="false" outlineLevel="0" collapsed="false">
      <c r="A24" s="55" t="n">
        <v>20</v>
      </c>
      <c r="B24" s="36" t="n">
        <f aca="false">הגדרות!$B$7+(A24-1)*הגדרות!$B$8</f>
        <v>11710</v>
      </c>
      <c r="C24" s="36" t="n">
        <f aca="false">הגדרות!$B$15</f>
        <v>162.8</v>
      </c>
      <c r="D24" s="36" t="n">
        <f aca="false">A24*הגדרות!$B$14</f>
        <v>4934</v>
      </c>
      <c r="E24" s="36" t="n">
        <f aca="false">B24-C24-D24</f>
        <v>6613.2</v>
      </c>
      <c r="F24" s="36" t="n">
        <f aca="false">E24/A24</f>
        <v>330.66</v>
      </c>
      <c r="G24" s="36" t="n">
        <f aca="false">E24*12</f>
        <v>79358.4</v>
      </c>
      <c r="H24" s="36" t="n">
        <f aca="false">B24*12</f>
        <v>140520</v>
      </c>
      <c r="I24" s="38" t="str">
        <f aca="false">IF(H24&gt;הגדרות!$B$10,"⚠️ כן, לעבור לעוסק מורשה","✅ לא")</f>
        <v>⚠️ כן, לעבור לעוסק מורשה</v>
      </c>
    </row>
    <row r="26" customFormat="false" ht="15" hidden="false" customHeight="false" outlineLevel="0" collapsed="false">
      <c r="A26" s="56" t="s">
        <v>132</v>
      </c>
    </row>
  </sheetData>
  <mergeCells count="2">
    <mergeCell ref="A1:I1"/>
    <mergeCell ref="A2:I2"/>
  </mergeCells>
  <conditionalFormatting sqref="E5:E24">
    <cfRule type="dataBar" priority="2">
      <dataBar showValue="1" minLength="10" maxLength="90">
        <cfvo type="num" val="0"/>
        <cfvo type="max" val="0"/>
        <color rgb="FF58D68D"/>
      </dataBar>
      <extLst>
        <ext xmlns:x14="http://schemas.microsoft.com/office/spreadsheetml/2009/9/main" uri="{B025F937-C7B1-47D3-B67F-A62EFF666E3E}">
          <x14:id>{DCE2B3D5-3B3C-46FF-9676-D7601E73CD61}</x14:id>
        </ext>
      </extLst>
    </cfRule>
  </conditionalFormatting>
  <conditionalFormatting sqref="I5:I24">
    <cfRule type="expression" priority="3" aboveAverage="0" equalAverage="0" bottom="0" percent="0" rank="0" text="" dxfId="1">
      <formula>LEFT(I5,1)="⚠"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E2B3D5-3B3C-46FF-9676-D7601E73CD61}">
            <x14:dataBar minLength="10" maxLength="90" axisPosition="none" gradient="true">
              <x14:cfvo type="num">
                <xm:f>0</xm:f>
              </x14:cfvo>
              <x14:cfvo type="max"/>
              <x14:negativeFillColor rgb="FF58D68D"/>
              <x14:axisColor rgb="FF000000"/>
            </x14:dataBar>
          </x14:cfRule>
          <xm:sqref>E5:E24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C1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33.75" hidden="false" customHeight="true" outlineLevel="0" collapsed="false">
      <c r="A1" s="1" t="s">
        <v>133</v>
      </c>
      <c r="B1" s="1"/>
      <c r="C1" s="1"/>
    </row>
    <row r="2" customFormat="false" ht="19.5" hidden="false" customHeight="true" outlineLevel="0" collapsed="false">
      <c r="A2" s="2" t="s">
        <v>134</v>
      </c>
      <c r="B2" s="2"/>
      <c r="C2" s="2"/>
    </row>
    <row r="4" customFormat="false" ht="36" hidden="false" customHeight="true" outlineLevel="0" collapsed="false">
      <c r="A4" s="53" t="s">
        <v>135</v>
      </c>
      <c r="B4" s="53" t="s">
        <v>136</v>
      </c>
      <c r="C4" s="53" t="s">
        <v>137</v>
      </c>
    </row>
    <row r="5" customFormat="false" ht="15" hidden="false" customHeight="false" outlineLevel="0" collapsed="false">
      <c r="A5" s="57" t="s">
        <v>138</v>
      </c>
      <c r="B5" s="58" t="n">
        <v>3.7</v>
      </c>
      <c r="C5" s="59" t="s">
        <v>139</v>
      </c>
    </row>
    <row r="6" customFormat="false" ht="15" hidden="false" customHeight="false" outlineLevel="0" collapsed="false">
      <c r="A6" s="60" t="s">
        <v>140</v>
      </c>
      <c r="B6" s="58" t="n">
        <v>4</v>
      </c>
      <c r="C6" s="61" t="s">
        <v>139</v>
      </c>
    </row>
    <row r="7" customFormat="false" ht="15" hidden="false" customHeight="false" outlineLevel="0" collapsed="false">
      <c r="A7" s="57" t="s">
        <v>141</v>
      </c>
      <c r="B7" s="45" t="n">
        <v>500</v>
      </c>
      <c r="C7" s="59" t="s">
        <v>142</v>
      </c>
    </row>
    <row r="8" customFormat="false" ht="15" hidden="false" customHeight="false" outlineLevel="0" collapsed="false">
      <c r="A8" s="60" t="s">
        <v>143</v>
      </c>
      <c r="B8" s="45" t="n">
        <v>590</v>
      </c>
      <c r="C8" s="61" t="s">
        <v>144</v>
      </c>
    </row>
    <row r="9" customFormat="false" ht="15" hidden="false" customHeight="false" outlineLevel="0" collapsed="false">
      <c r="A9" s="57" t="s">
        <v>145</v>
      </c>
      <c r="B9" s="45" t="n">
        <v>2500</v>
      </c>
      <c r="C9" s="59" t="s">
        <v>105</v>
      </c>
    </row>
    <row r="10" customFormat="false" ht="15" hidden="false" customHeight="false" outlineLevel="0" collapsed="false">
      <c r="A10" s="60" t="s">
        <v>146</v>
      </c>
      <c r="B10" s="45" t="n">
        <v>120000</v>
      </c>
      <c r="C10" s="61" t="s">
        <v>147</v>
      </c>
    </row>
    <row r="11" customFormat="false" ht="15" hidden="false" customHeight="false" outlineLevel="0" collapsed="false">
      <c r="A11" s="57" t="s">
        <v>148</v>
      </c>
      <c r="B11" s="45" t="n">
        <v>3000</v>
      </c>
      <c r="C11" s="59" t="s">
        <v>149</v>
      </c>
    </row>
    <row r="12" customFormat="false" ht="15" hidden="false" customHeight="false" outlineLevel="0" collapsed="false">
      <c r="A12" s="60" t="s">
        <v>150</v>
      </c>
      <c r="B12" s="62" t="n">
        <v>46296</v>
      </c>
      <c r="C12" s="61" t="s">
        <v>151</v>
      </c>
    </row>
    <row r="14" customFormat="false" ht="26.85" hidden="false" customHeight="false" outlineLevel="0" collapsed="false">
      <c r="A14" s="59" t="s">
        <v>152</v>
      </c>
      <c r="B14" s="49" t="n">
        <f aca="false">SUMPRODUCT((הוצאות!$F$5:$F$30="לכל לקוח")*(הוצאות!$G$5:$G$30&lt;&gt;"בוטל")*הוצאות!$M$5:$M$30)</f>
        <v>246.7</v>
      </c>
      <c r="C14" s="59" t="s">
        <v>153</v>
      </c>
    </row>
    <row r="15" customFormat="false" ht="15" hidden="false" customHeight="false" outlineLevel="0" collapsed="false">
      <c r="A15" s="61" t="s">
        <v>154</v>
      </c>
      <c r="B15" s="50" t="n">
        <f aca="false">SUMPRODUCT((הוצאות!$F$5:$F$30="קבוע")*(הוצאות!$G$5:$G$30&lt;&gt;"בוטל")*הוצאות!$M$5:$M$30)</f>
        <v>162.8</v>
      </c>
      <c r="C15" s="61" t="s">
        <v>155</v>
      </c>
    </row>
  </sheetData>
  <mergeCells count="2">
    <mergeCell ref="A1:C1"/>
    <mergeCell ref="A2:C2"/>
  </mergeCells>
  <dataValidations count="1">
    <dataValidation allowBlank="false" errorStyle="stop" operator="between" showDropDown="false" showErrorMessage="false" showInputMessage="false" sqref="B12" type="list">
      <formula1>חודשים!$A$5:$A$19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2026-10-16T08:41:00Z</dcterms:created>
  <dc:creator>openpyxl</dc:creator>
  <dc:description/>
  <dc:language>en-US</dc:language>
  <cp:lastModifiedBy/>
  <dcterms:modified xsi:type="dcterms:W3CDTF">2026-10-16T08:41:02Z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