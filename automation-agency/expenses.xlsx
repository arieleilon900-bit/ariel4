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<sst xmlns="http://schemas.openxmlformats.org/spreadsheetml/2006/main" count="67" uniqueCount="56">
  <si>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</si>
  <si>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</si>
  <si>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</si>
  <si>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</si>
  <si>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</si>
  <si>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</si>
  <si>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</si>
  <si>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</si>
  <si>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</si>
  <si>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</si>
  <si>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</si>
  <si>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</si>
  <si>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</si>
  <si>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</si>
  <si>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</si>
  <si>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</si>
  <si>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</si>
  <si>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</si>
  <si>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</si>
  <si>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</si>
  <si>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</si>
  <si>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</si>
  <si>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</si>
  <si>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</si>
  <si>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</si>
  <si>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</si>
  <si>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</t>
  </si>
  <si>
    <t xml:space="preserve">Anthropic (המוח של הבוט)</t>
  </si>
  <si>
    <t xml:space="preserve">מ-20/10 על Haiku: הערכה, פחות מ-1.5 דולר בחודש (על Opus היה בערך 11). "פעם אחת" = הטעינה הראשונה, 10 דולר</t>
  </si>
  <si>
    <t xml:space="preserve">UltraMsg (מספר הבדיקות)</t>
  </si>
  <si>
    <t xml:space="preserve">בוטל</t>
  </si>
  <si>
    <t xml:space="preserve">המנוי פג ב-16/10/2026. לבדיקות עוברים ל-Dualhook על המספר של השותף</t>
  </si>
  <si>
    <t xml:space="preserve">Dualhook (החיבור הרשמי למספר של חנן)</t>
  </si>
  <si>
    <t xml:space="preserve">מיום החיבור</t>
  </si>
  <si>
    <t xml:space="preserve">12 דולר לחודש. לבדוק ב-Billing אם דולר או יורו (ביורו בערך 48)</t>
  </si>
  <si>
    <t xml:space="preserve">Meta (תזכורות וביקורות)</t>
  </si>
  <si>
    <t xml:space="preserve">הערכה, אגורות להודעה</t>
  </si>
  <si>
    <t xml:space="preserve">GitHub (הקוד)</t>
  </si>
  <si>
    <t xml:space="preserve">אריאל</t>
  </si>
  <si>
    <t xml:space="preserve">חינם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</si>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</sst>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v>1000</v>
      </c>
      <c r="C6" s="8" t="s">
        <v>10</v>
      </c>
      <c r="D6" s="9" t="n">
        <v>46305</v>
      </c>
      <c r="E6" s="8"/>
      <c r="F6" s="10" t="s">
        <v>11</v>
      </c>
    </row>
    <row r="7" customFormat="false" ht="15" hidden="false" customHeight="true" outlineLevel="0" collapsed="false">
      <c r="A7" s="6" t="s">
        <v>12</v>
      </c>
      <c r="B7" s="7" t="n">
        <v>1500</v>
      </c>
      <c r="C7" s="8" t="s">
        <v>13</v>
      </c>
      <c r="D7" s="9"/>
      <c r="E7" s="8"/>
      <c r="F7" s="10" t="s">
        <v>14</v>
      </c>
    </row>
    <row r="8" customFormat="false" ht="15" hidden="false" customHeight="true" outlineLevel="0" collapsed="false">
      <c r="A8" s="6" t="s">
        <v>15</v>
      </c>
      <c r="B8" s="7" t="n">
        <v>500</v>
      </c>
      <c r="C8" s="8" t="s">
        <v>16</v>
      </c>
      <c r="D8" s="9"/>
      <c r="E8" s="8"/>
      <c r="F8" s="10" t="s">
        <v>17</v>
      </c>
    </row>
    <row r="10" customFormat="false" ht="24" hidden="false" customHeight="true" outlineLevel="0" collapsed="false">
      <c r="A10" s="11" t="s">
        <v>18</v>
      </c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2" t="s">
        <v>3</v>
      </c>
      <c r="B11" s="12" t="s">
        <v>19</v>
      </c>
      <c r="C11" s="12" t="s">
        <v>20</v>
      </c>
      <c r="D11" s="12" t="s">
        <v>21</v>
      </c>
      <c r="E11" s="12" t="s">
        <v>22</v>
      </c>
      <c r="F11" s="12" t="s">
        <v>8</v>
      </c>
    </row>
    <row r="12" customFormat="false" ht="15" hidden="false" customHeight="true" outlineLevel="0" collapsed="false">
      <c r="A12" s="6" t="s">
        <v>23</v>
      </c>
      <c r="B12" s="13" t="n">
        <v>18.5</v>
      </c>
      <c r="C12" s="13"/>
      <c r="D12" s="8" t="s">
        <v>24</v>
      </c>
      <c r="E12" s="8" t="s">
        <v>25</v>
      </c>
      <c r="F12" s="10" t="s">
        <v>26</v>
      </c>
    </row>
    <row r="13" customFormat="false" ht="23.25" hidden="false" customHeight="true" outlineLevel="0" collapsed="false">
      <c r="A13" s="6" t="s">
        <v>27</v>
      </c>
      <c r="B13" s="13" t="n">
        <v>5</v>
      </c>
      <c r="C13" s="13" t="n">
        <v>37</v>
      </c>
      <c r="D13" s="8" t="s">
        <v>24</v>
      </c>
      <c r="E13" s="8" t="s">
        <v>25</v>
      </c>
      <c r="F13" s="10" t="s">
        <v>28</v>
      </c>
    </row>
    <row r="14" customFormat="false" ht="15" hidden="false" customHeight="true" outlineLevel="0" collapsed="false">
      <c r="A14" s="6" t="s">
        <v>29</v>
      </c>
      <c r="B14" s="13" t="n">
        <v>144.3</v>
      </c>
      <c r="C14" s="13"/>
      <c r="D14" s="8" t="s">
        <v>30</v>
      </c>
      <c r="E14" s="8" t="s">
        <v>25</v>
      </c>
      <c r="F14" s="10" t="s">
        <v>31</v>
      </c>
    </row>
    <row r="15" customFormat="false" ht="26.25" hidden="false" customHeight="true" outlineLevel="0" collapsed="false">
      <c r="A15" s="6" t="s">
        <v>32</v>
      </c>
      <c r="B15" s="13" t="n">
        <v>45</v>
      </c>
      <c r="C15" s="13"/>
      <c r="D15" s="8" t="s">
        <v>33</v>
      </c>
      <c r="E15" s="8" t="s">
        <v>25</v>
      </c>
      <c r="F15" s="10" t="s">
        <v>34</v>
      </c>
    </row>
    <row r="16" customFormat="false" ht="15" hidden="false" customHeight="true" outlineLevel="0" collapsed="false">
      <c r="A16" s="6" t="s">
        <v>35</v>
      </c>
      <c r="B16" s="13" t="n">
        <v>10</v>
      </c>
      <c r="C16" s="13"/>
      <c r="D16" s="8" t="s">
        <v>33</v>
      </c>
      <c r="E16" s="8" t="s">
        <v>25</v>
      </c>
      <c r="F16" s="10" t="s">
        <v>36</v>
      </c>
    </row>
    <row r="17" customFormat="false" ht="15" hidden="false" customHeight="true" outlineLevel="0" collapsed="false">
      <c r="A17" s="6" t="s">
        <v>37</v>
      </c>
      <c r="B17" s="13" t="n">
        <v>0</v>
      </c>
      <c r="C17" s="13"/>
      <c r="D17" s="8" t="s">
        <v>24</v>
      </c>
      <c r="E17" s="8" t="s">
        <v>38</v>
      </c>
      <c r="F17" s="10" t="s">
        <v>39</v>
      </c>
    </row>
    <row r="18" customFormat="false" ht="15" hidden="false" customHeight="true" outlineLevel="0" collapsed="false">
      <c r="A18" s="6"/>
      <c r="B18" s="13"/>
      <c r="C18" s="13"/>
      <c r="D18" s="8"/>
      <c r="E18" s="8"/>
      <c r="F18" s="14"/>
    </row>
    <row r="19" customFormat="false" ht="15" hidden="false" customHeight="true" outlineLevel="0" collapsed="false">
      <c r="A19" s="6"/>
      <c r="B19" s="13"/>
      <c r="C19" s="13"/>
      <c r="D19" s="8"/>
      <c r="E19" s="8"/>
      <c r="F19" s="14"/>
    </row>
    <row r="20" customFormat="false" ht="15" hidden="false" customHeight="true" outlineLevel="0" collapsed="false">
      <c r="A20" s="6"/>
      <c r="B20" s="13"/>
      <c r="C20" s="13"/>
      <c r="D20" s="8"/>
      <c r="E20" s="8"/>
      <c r="F20" s="14"/>
    </row>
    <row r="21" customFormat="false" ht="15" hidden="false" customHeight="true" outlineLevel="0" collapsed="false">
      <c r="A21" s="15" t="s">
        <v>40</v>
      </c>
      <c r="B21" s="16" t="n">
        <f aca="false">SUMIFS(B12:B20,D12:D20,"&lt;&gt;בוטל")</f>
        <v>78.5</v>
      </c>
      <c r="C21" s="16" t="n">
        <f aca="false">SUMIFS(C12:C20,D12:D20,"&lt;&gt;בוטל")</f>
        <v>37</v>
      </c>
      <c r="D21" s="17"/>
      <c r="E21" s="17"/>
      <c r="F21" s="17"/>
    </row>
    <row r="23" customFormat="false" ht="24" hidden="false" customHeight="true" outlineLevel="0" collapsed="false">
      <c r="A23" s="18" t="s">
        <v>41</v>
      </c>
      <c r="B23" s="18"/>
      <c r="C23" s="18"/>
      <c r="D23" s="18"/>
      <c r="E23" s="18"/>
      <c r="F23" s="18"/>
    </row>
    <row r="24" customFormat="false" ht="26.25" hidden="false" customHeight="true" outlineLevel="0" collapsed="false">
      <c r="B24" s="19" t="s">
        <v>42</v>
      </c>
      <c r="C24" s="19" t="s">
        <v>43</v>
      </c>
    </row>
    <row r="25" customFormat="false" ht="15.75" hidden="false" customHeight="true" outlineLevel="0" collapsed="false">
      <c r="A25" s="20" t="s">
        <v>44</v>
      </c>
      <c r="B25" s="21" t="n">
        <f aca="false">0</f>
        <v>0</v>
      </c>
      <c r="C25" s="21" t="n">
        <f aca="false">B8</f>
        <v>500</v>
      </c>
      <c r="D25" s="22" t="s">
        <v>45</v>
      </c>
      <c r="E25" s="22"/>
      <c r="F25" s="22"/>
    </row>
    <row r="26" customFormat="false" ht="15.75" hidden="false" customHeight="true" outlineLevel="0" collapsed="false">
      <c r="A26" s="20" t="s">
        <v>46</v>
      </c>
      <c r="B26" s="23" t="n">
        <f aca="false">SUMIFS(B12:B20,D12:D20,"עכשיו")</f>
        <v>23.5</v>
      </c>
      <c r="C26" s="23" t="n">
        <f aca="false">SUMIFS(B12:B20,D12:D20,"&lt;&gt;בוטל")</f>
        <v>78.5</v>
      </c>
    </row>
    <row r="27" customFormat="false" ht="15.75" hidden="false" customHeight="true" outlineLevel="0" collapsed="false">
      <c r="A27" s="20" t="s">
        <v>47</v>
      </c>
      <c r="B27" s="24" t="n">
        <f aca="false">B25-B26</f>
        <v>-23.5</v>
      </c>
      <c r="C27" s="24" t="n">
        <f aca="false">C25-C26</f>
        <v>421.5</v>
      </c>
    </row>
    <row r="28" customFormat="false" ht="15" hidden="false" customHeight="true" outlineLevel="0" collapsed="false">
      <c r="A28" s="20" t="s">
        <v>48</v>
      </c>
      <c r="B28" s="25" t="n">
        <f aca="false">SUMIFS(B6:B7,C6:C7,"כן")</f>
        <v>1000</v>
      </c>
      <c r="C28" s="26" t="n">
        <f aca="false">SUMIFS(B6:B7,C6:C7,"לא")</f>
        <v>1500</v>
      </c>
    </row>
    <row r="30" customFormat="false" ht="24" hidden="false" customHeight="true" outlineLevel="0" collapsed="false">
      <c r="A30" s="27" t="s">
        <v>49</v>
      </c>
      <c r="B30" s="27"/>
      <c r="C30" s="27"/>
      <c r="D30" s="27"/>
      <c r="E30" s="27"/>
      <c r="F30" s="27"/>
    </row>
    <row r="31" customFormat="false" ht="15" hidden="false" customHeight="true" outlineLevel="0" collapsed="false">
      <c r="B31" s="28" t="s">
        <v>38</v>
      </c>
      <c r="C31" s="28" t="s">
        <v>25</v>
      </c>
    </row>
    <row r="32" customFormat="false" ht="15" hidden="false" customHeight="true" outlineLevel="0" collapsed="false">
      <c r="A32" s="20" t="s">
        <v>50</v>
      </c>
      <c r="B32" s="29" t="n">
        <v>0.5</v>
      </c>
      <c r="C32" s="30" t="n">
        <f aca="false">1-B32</f>
        <v>0.5</v>
      </c>
      <c r="D32" s="22" t="s">
        <v>51</v>
      </c>
      <c r="E32" s="22"/>
      <c r="F32" s="22"/>
    </row>
    <row r="33" customFormat="false" ht="15" hidden="false" customHeight="true" outlineLevel="0" collapsed="false">
      <c r="A33" s="20" t="s">
        <v>52</v>
      </c>
      <c r="B33" s="31" t="n">
        <f aca="false">SUMIFS(B12:B20,D12:D20,"&lt;&gt;בוטל",E12:E20,"אריאל")+SUMIFS(B12:B20,D12:D20,"&lt;&gt;בוטל",E12:E20,"חצי חצי")/2</f>
        <v>0</v>
      </c>
      <c r="C33" s="31" t="n">
        <f aca="false">SUMIFS(B12:B20,D12:D20,"&lt;&gt;בוטל",E12:E20,"השותף")+SUMIFS(B12:B20,D12:D20,"&lt;&gt;בוטל",E12:E20,"חצי חצי")/2</f>
        <v>78.5</v>
      </c>
    </row>
    <row r="34" customFormat="false" ht="15" hidden="false" customHeight="true" outlineLevel="0" collapsed="false">
      <c r="A34" s="20" t="s">
        <v>53</v>
      </c>
      <c r="B34" s="32" t="n">
        <f aca="false">C27*B32</f>
        <v>210.75</v>
      </c>
      <c r="C34" s="32" t="n">
        <f aca="false">C27*C32</f>
        <v>210.75</v>
      </c>
    </row>
    <row r="35" customFormat="false" ht="15.75" hidden="false" customHeight="true" outlineLevel="0" collapsed="false">
      <c r="A35" s="33" t="s">
        <v>54</v>
      </c>
      <c r="B35" s="34" t="n">
        <f aca="false">B33+B34</f>
        <v>210.75</v>
      </c>
      <c r="C35" s="34" t="n">
        <f aca="false">C33+C34</f>
        <v>289.25</v>
      </c>
      <c r="D35" s="22" t="s">
        <v>55</v>
      </c>
      <c r="E35" s="22"/>
      <c r="F35" s="22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2026-10-20T10:47:54Z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